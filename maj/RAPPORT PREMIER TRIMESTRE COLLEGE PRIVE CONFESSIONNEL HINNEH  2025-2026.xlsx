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GSC HINNEH\GSC HINNEH 2025-2026\"/>
    </mc:Choice>
  </mc:AlternateContent>
  <xr:revisionPtr revIDLastSave="0" documentId="8_{883FB560-BEF5-4D8F-AA9F-6B4BC2BFAC6C}" xr6:coauthVersionLast="47" xr6:coauthVersionMax="47" xr10:uidLastSave="{00000000-0000-0000-0000-000000000000}"/>
  <bookViews>
    <workbookView xWindow="-120" yWindow="-120" windowWidth="29040" windowHeight="15840" activeTab="2" xr2:uid="{00000000-000D-0000-FFFF-FFFF00000000}"/>
  </bookViews>
  <sheets>
    <sheet name="PAGE DE GARDE" sheetId="18" r:id="rId1"/>
    <sheet name="SOMMAIRE" sheetId="17" r:id="rId2"/>
    <sheet name="INTRODUCTION" sheetId="19" r:id="rId3"/>
    <sheet name="VIE PEDAGOGIQUE" sheetId="1" r:id="rId4"/>
    <sheet name="VISITES DE CLASSES" sheetId="30" r:id="rId5"/>
    <sheet name="FORMATIONS" sheetId="29" r:id="rId6"/>
    <sheet name="NOMBRE D'ELEVES PAR NIVEAU" sheetId="21" r:id="rId7"/>
    <sheet name="RESULTATS SCOLAIRES" sheetId="2" r:id="rId8"/>
    <sheet name="LISTE DES MAJORS" sheetId="3" r:id="rId9"/>
    <sheet name="EFFECTIFS ET PYRAMIDES" sheetId="4" r:id="rId10"/>
    <sheet name="REPARTITION ELEVE PAR NAISSANCE" sheetId="7" r:id="rId11"/>
    <sheet name="ETAT DU PERSONNEL ENSEIGNANT" sheetId="8" r:id="rId12"/>
    <sheet name="ETAT DU PERSONNEL ADMINISTRATIF" sheetId="9" r:id="rId13"/>
    <sheet name="ETAT PERSONNEL DE SERVICE" sheetId="27" r:id="rId14"/>
    <sheet name="CAS SOCIAUX" sheetId="10" r:id="rId15"/>
    <sheet name="CONCLUSION" sheetId="28" r:id="rId16"/>
  </sheets>
  <externalReferences>
    <externalReference r:id="rId17"/>
  </externalReferences>
  <definedNames>
    <definedName name="_xlnm.Print_Area" localSheetId="14">'CAS SOCIAUX'!$A$1:$J$66</definedName>
    <definedName name="_xlnm.Print_Area" localSheetId="9">'EFFECTIFS ET PYRAMIDES'!$C$2:$S$11</definedName>
    <definedName name="_xlnm.Print_Area" localSheetId="11">'ETAT DU PERSONNEL ENSEIGNANT'!$A$1:$J$36</definedName>
    <definedName name="_xlnm.Print_Area" localSheetId="0">'PAGE DE GARDE'!$A$1:$H$36</definedName>
    <definedName name="_xlnm.Print_Area" localSheetId="10">'REPARTITION ELEVE PAR NAISSANCE'!$A$1:$O$81</definedName>
    <definedName name="_xlnm.Print_Area" localSheetId="7">'RESULTATS SCOLAIRES'!$A$1:$V$23</definedName>
  </definedNames>
  <calcPr calcId="191029" refMode="R1C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78" i="7" l="1"/>
  <c r="M78" i="7"/>
  <c r="L78" i="7"/>
  <c r="K78" i="7"/>
  <c r="J78" i="7"/>
  <c r="I78" i="7"/>
  <c r="H78" i="7"/>
  <c r="G78" i="7"/>
  <c r="F78" i="7"/>
  <c r="E78" i="7"/>
  <c r="D78" i="7"/>
  <c r="C78" i="7"/>
  <c r="O78" i="7" s="1"/>
  <c r="O77" i="7"/>
  <c r="O79" i="7" s="1"/>
  <c r="N77" i="7"/>
  <c r="N80" i="7" s="1"/>
  <c r="M77" i="7"/>
  <c r="M80" i="7" s="1"/>
  <c r="L77" i="7"/>
  <c r="L79" i="7" s="1"/>
  <c r="K77" i="7"/>
  <c r="K79" i="7" s="1"/>
  <c r="J77" i="7"/>
  <c r="J79" i="7" s="1"/>
  <c r="I77" i="7"/>
  <c r="I79" i="7" s="1"/>
  <c r="H77" i="7"/>
  <c r="H79" i="7" s="1"/>
  <c r="G77" i="7"/>
  <c r="G80" i="7" s="1"/>
  <c r="F77" i="7"/>
  <c r="F80" i="7" s="1"/>
  <c r="E77" i="7"/>
  <c r="E80" i="7" s="1"/>
  <c r="D77" i="7"/>
  <c r="D79" i="7" s="1"/>
  <c r="C77" i="7"/>
  <c r="C79" i="7" s="1"/>
  <c r="N75" i="7"/>
  <c r="M75" i="7"/>
  <c r="L75" i="7"/>
  <c r="K75" i="7"/>
  <c r="J75" i="7"/>
  <c r="I75" i="7"/>
  <c r="H75" i="7"/>
  <c r="G75" i="7"/>
  <c r="F75" i="7"/>
  <c r="E75" i="7"/>
  <c r="D75" i="7"/>
  <c r="C75" i="7"/>
  <c r="O75" i="7" s="1"/>
  <c r="N74" i="7"/>
  <c r="M74" i="7"/>
  <c r="L74" i="7"/>
  <c r="K74" i="7"/>
  <c r="J74" i="7"/>
  <c r="I74" i="7"/>
  <c r="H74" i="7"/>
  <c r="G74" i="7"/>
  <c r="F74" i="7"/>
  <c r="E74" i="7"/>
  <c r="D74" i="7"/>
  <c r="C74" i="7"/>
  <c r="O74" i="7" s="1"/>
  <c r="N73" i="7"/>
  <c r="M73" i="7"/>
  <c r="L73" i="7"/>
  <c r="O73" i="7" s="1"/>
  <c r="K73" i="7"/>
  <c r="J73" i="7"/>
  <c r="I73" i="7"/>
  <c r="H73" i="7"/>
  <c r="G73" i="7"/>
  <c r="F73" i="7"/>
  <c r="E73" i="7"/>
  <c r="D73" i="7"/>
  <c r="C73" i="7"/>
  <c r="O72" i="7"/>
  <c r="O71" i="7"/>
  <c r="O70" i="7"/>
  <c r="M70" i="7"/>
  <c r="L70" i="7"/>
  <c r="K70" i="7"/>
  <c r="J70" i="7"/>
  <c r="H70" i="7"/>
  <c r="G70" i="7"/>
  <c r="F70" i="7"/>
  <c r="E70" i="7"/>
  <c r="D70" i="7"/>
  <c r="C70" i="7"/>
  <c r="O69" i="7"/>
  <c r="O68" i="7"/>
  <c r="N67" i="7"/>
  <c r="M67" i="7"/>
  <c r="L67" i="7"/>
  <c r="O67" i="7" s="1"/>
  <c r="K67" i="7"/>
  <c r="J67" i="7"/>
  <c r="I67" i="7"/>
  <c r="H67" i="7"/>
  <c r="G67" i="7"/>
  <c r="F67" i="7"/>
  <c r="E67" i="7"/>
  <c r="D67" i="7"/>
  <c r="C67" i="7"/>
  <c r="O66" i="7"/>
  <c r="O65" i="7"/>
  <c r="N64" i="7"/>
  <c r="M64" i="7"/>
  <c r="L64" i="7"/>
  <c r="O64" i="7" s="1"/>
  <c r="K64" i="7"/>
  <c r="J64" i="7"/>
  <c r="I64" i="7"/>
  <c r="H64" i="7"/>
  <c r="G64" i="7"/>
  <c r="F64" i="7"/>
  <c r="E64" i="7"/>
  <c r="D64" i="7"/>
  <c r="C64" i="7"/>
  <c r="O63" i="7"/>
  <c r="O62" i="7"/>
  <c r="N61" i="7"/>
  <c r="M61" i="7"/>
  <c r="L61" i="7"/>
  <c r="K61" i="7"/>
  <c r="J61" i="7"/>
  <c r="I61" i="7"/>
  <c r="H61" i="7"/>
  <c r="G61" i="7"/>
  <c r="F61" i="7"/>
  <c r="E61" i="7"/>
  <c r="D61" i="7"/>
  <c r="C61" i="7"/>
  <c r="O61" i="7" s="1"/>
  <c r="O60" i="7"/>
  <c r="O59" i="7"/>
  <c r="N58" i="7"/>
  <c r="M58" i="7"/>
  <c r="L58" i="7"/>
  <c r="K58" i="7"/>
  <c r="J58" i="7"/>
  <c r="I58" i="7"/>
  <c r="H58" i="7"/>
  <c r="G58" i="7"/>
  <c r="F58" i="7"/>
  <c r="E58" i="7"/>
  <c r="O58" i="7" s="1"/>
  <c r="D58" i="7"/>
  <c r="C58" i="7"/>
  <c r="O57" i="7"/>
  <c r="O56" i="7"/>
  <c r="N55" i="7"/>
  <c r="M55" i="7"/>
  <c r="K55" i="7"/>
  <c r="J55" i="7"/>
  <c r="I55" i="7"/>
  <c r="H55" i="7"/>
  <c r="G55" i="7"/>
  <c r="F55" i="7"/>
  <c r="E55" i="7"/>
  <c r="D55" i="7"/>
  <c r="C55" i="7"/>
  <c r="O55" i="7" s="1"/>
  <c r="O54" i="7"/>
  <c r="O53" i="7"/>
  <c r="N52" i="7"/>
  <c r="M52" i="7"/>
  <c r="L52" i="7"/>
  <c r="K52" i="7"/>
  <c r="J52" i="7"/>
  <c r="I52" i="7"/>
  <c r="H52" i="7"/>
  <c r="G52" i="7"/>
  <c r="O52" i="7" s="1"/>
  <c r="F52" i="7"/>
  <c r="E52" i="7"/>
  <c r="D52" i="7"/>
  <c r="C52" i="7"/>
  <c r="O51" i="7"/>
  <c r="O50" i="7"/>
  <c r="N49" i="7"/>
  <c r="M49" i="7"/>
  <c r="L49" i="7"/>
  <c r="K49" i="7"/>
  <c r="J49" i="7"/>
  <c r="I49" i="7"/>
  <c r="H49" i="7"/>
  <c r="G49" i="7"/>
  <c r="F49" i="7"/>
  <c r="E49" i="7"/>
  <c r="D49" i="7"/>
  <c r="C49" i="7"/>
  <c r="O49" i="7" s="1"/>
  <c r="O48" i="7"/>
  <c r="O47" i="7"/>
  <c r="N46" i="7"/>
  <c r="M46" i="7"/>
  <c r="L46" i="7"/>
  <c r="K46" i="7"/>
  <c r="J46" i="7"/>
  <c r="I46" i="7"/>
  <c r="H46" i="7"/>
  <c r="G46" i="7"/>
  <c r="F46" i="7"/>
  <c r="E46" i="7"/>
  <c r="D46" i="7"/>
  <c r="C46" i="7"/>
  <c r="O46" i="7" s="1"/>
  <c r="O45" i="7"/>
  <c r="O44" i="7"/>
  <c r="N43" i="7"/>
  <c r="M43" i="7"/>
  <c r="L43" i="7"/>
  <c r="K43" i="7"/>
  <c r="J43" i="7"/>
  <c r="I43" i="7"/>
  <c r="H43" i="7"/>
  <c r="G43" i="7"/>
  <c r="F43" i="7"/>
  <c r="E43" i="7"/>
  <c r="D43" i="7"/>
  <c r="O43" i="7" s="1"/>
  <c r="C43" i="7"/>
  <c r="O42" i="7"/>
  <c r="O41" i="7"/>
  <c r="N40" i="7"/>
  <c r="M40" i="7"/>
  <c r="L40" i="7"/>
  <c r="K40" i="7"/>
  <c r="J40" i="7"/>
  <c r="I40" i="7"/>
  <c r="H40" i="7"/>
  <c r="G40" i="7"/>
  <c r="F40" i="7"/>
  <c r="E40" i="7"/>
  <c r="D40" i="7"/>
  <c r="C40" i="7"/>
  <c r="O40" i="7" s="1"/>
  <c r="O39" i="7"/>
  <c r="O38" i="7"/>
  <c r="N37" i="7"/>
  <c r="M37" i="7"/>
  <c r="L37" i="7"/>
  <c r="K37" i="7"/>
  <c r="J37" i="7"/>
  <c r="I37" i="7"/>
  <c r="H37" i="7"/>
  <c r="G37" i="7"/>
  <c r="F37" i="7"/>
  <c r="E37" i="7"/>
  <c r="O37" i="7" s="1"/>
  <c r="D37" i="7"/>
  <c r="C37" i="7"/>
  <c r="O36" i="7"/>
  <c r="O35" i="7"/>
  <c r="N34" i="7"/>
  <c r="M34" i="7"/>
  <c r="L34" i="7"/>
  <c r="K34" i="7"/>
  <c r="J34" i="7"/>
  <c r="I34" i="7"/>
  <c r="H34" i="7"/>
  <c r="G34" i="7"/>
  <c r="F34" i="7"/>
  <c r="E34" i="7"/>
  <c r="D34" i="7"/>
  <c r="O34" i="7" s="1"/>
  <c r="C34" i="7"/>
  <c r="O33" i="7"/>
  <c r="O32" i="7"/>
  <c r="N31" i="7"/>
  <c r="M31" i="7"/>
  <c r="L31" i="7"/>
  <c r="K31" i="7"/>
  <c r="J31" i="7"/>
  <c r="I31" i="7"/>
  <c r="H31" i="7"/>
  <c r="G31" i="7"/>
  <c r="F31" i="7"/>
  <c r="E31" i="7"/>
  <c r="D31" i="7"/>
  <c r="C31" i="7"/>
  <c r="O31" i="7" s="1"/>
  <c r="O30" i="7"/>
  <c r="O29" i="7"/>
  <c r="N28" i="7"/>
  <c r="M28" i="7"/>
  <c r="L28" i="7"/>
  <c r="K28" i="7"/>
  <c r="J28" i="7"/>
  <c r="H28" i="7"/>
  <c r="G28" i="7"/>
  <c r="F28" i="7"/>
  <c r="O28" i="7" s="1"/>
  <c r="E28" i="7"/>
  <c r="D28" i="7"/>
  <c r="C28" i="7"/>
  <c r="O27" i="7"/>
  <c r="O26" i="7"/>
  <c r="N25" i="7"/>
  <c r="M25" i="7"/>
  <c r="L25" i="7"/>
  <c r="K25" i="7"/>
  <c r="J25" i="7"/>
  <c r="I25" i="7"/>
  <c r="H25" i="7"/>
  <c r="G25" i="7"/>
  <c r="F25" i="7"/>
  <c r="E25" i="7"/>
  <c r="D25" i="7"/>
  <c r="C25" i="7"/>
  <c r="O25" i="7" s="1"/>
  <c r="O24" i="7"/>
  <c r="O23" i="7"/>
  <c r="N22" i="7"/>
  <c r="M22" i="7"/>
  <c r="L22" i="7"/>
  <c r="K22" i="7"/>
  <c r="J22" i="7"/>
  <c r="I22" i="7"/>
  <c r="H22" i="7"/>
  <c r="G22" i="7"/>
  <c r="F22" i="7"/>
  <c r="E22" i="7"/>
  <c r="D22" i="7"/>
  <c r="O22" i="7" s="1"/>
  <c r="C22" i="7"/>
  <c r="O21" i="7"/>
  <c r="O20" i="7"/>
  <c r="N19" i="7"/>
  <c r="M19" i="7"/>
  <c r="L19" i="7"/>
  <c r="K19" i="7"/>
  <c r="J19" i="7"/>
  <c r="I19" i="7"/>
  <c r="H19" i="7"/>
  <c r="G19" i="7"/>
  <c r="F19" i="7"/>
  <c r="E19" i="7"/>
  <c r="D19" i="7"/>
  <c r="C19" i="7"/>
  <c r="O19" i="7" s="1"/>
  <c r="O18" i="7"/>
  <c r="O17" i="7"/>
  <c r="N16" i="7"/>
  <c r="M16" i="7"/>
  <c r="L16" i="7"/>
  <c r="K16" i="7"/>
  <c r="J16" i="7"/>
  <c r="I16" i="7"/>
  <c r="H16" i="7"/>
  <c r="G16" i="7"/>
  <c r="F16" i="7"/>
  <c r="E16" i="7"/>
  <c r="O16" i="7" s="1"/>
  <c r="D16" i="7"/>
  <c r="C16" i="7"/>
  <c r="O15" i="7"/>
  <c r="O14" i="7"/>
  <c r="N13" i="7"/>
  <c r="M13" i="7"/>
  <c r="L13" i="7"/>
  <c r="K13" i="7"/>
  <c r="J13" i="7"/>
  <c r="I13" i="7"/>
  <c r="H13" i="7"/>
  <c r="G13" i="7"/>
  <c r="F13" i="7"/>
  <c r="E13" i="7"/>
  <c r="D13" i="7"/>
  <c r="C13" i="7"/>
  <c r="O13" i="7" s="1"/>
  <c r="O12" i="7"/>
  <c r="O11" i="7"/>
  <c r="N10" i="7"/>
  <c r="M10" i="7"/>
  <c r="L10" i="7"/>
  <c r="K10" i="7"/>
  <c r="J10" i="7"/>
  <c r="I10" i="7"/>
  <c r="H10" i="7"/>
  <c r="G10" i="7"/>
  <c r="F10" i="7"/>
  <c r="D10" i="7"/>
  <c r="C10" i="7"/>
  <c r="O10" i="7" s="1"/>
  <c r="O9" i="7"/>
  <c r="O8" i="7"/>
  <c r="N7" i="7"/>
  <c r="N76" i="7" s="1"/>
  <c r="M7" i="7"/>
  <c r="M76" i="7" s="1"/>
  <c r="L7" i="7"/>
  <c r="L76" i="7" s="1"/>
  <c r="K7" i="7"/>
  <c r="K76" i="7" s="1"/>
  <c r="J7" i="7"/>
  <c r="J76" i="7" s="1"/>
  <c r="I7" i="7"/>
  <c r="I76" i="7" s="1"/>
  <c r="H7" i="7"/>
  <c r="H76" i="7" s="1"/>
  <c r="G7" i="7"/>
  <c r="G76" i="7" s="1"/>
  <c r="F7" i="7"/>
  <c r="F76" i="7" s="1"/>
  <c r="E7" i="7"/>
  <c r="E76" i="7" s="1"/>
  <c r="D7" i="7"/>
  <c r="D76" i="7" s="1"/>
  <c r="C7" i="7"/>
  <c r="C76" i="7" s="1"/>
  <c r="O6" i="7"/>
  <c r="O5" i="7"/>
  <c r="O76" i="7" l="1"/>
  <c r="E79" i="7"/>
  <c r="M79" i="7"/>
  <c r="H80" i="7"/>
  <c r="F79" i="7"/>
  <c r="N79" i="7"/>
  <c r="I80" i="7"/>
  <c r="G79" i="7"/>
  <c r="J80" i="7"/>
  <c r="C80" i="7"/>
  <c r="K80" i="7"/>
  <c r="D80" i="7"/>
  <c r="L80" i="7"/>
  <c r="O7" i="7"/>
  <c r="O80" i="7" l="1"/>
  <c r="E21" i="9"/>
  <c r="E22" i="9"/>
  <c r="E23" i="9"/>
  <c r="E24" i="9"/>
  <c r="E25" i="9"/>
  <c r="E26" i="9"/>
  <c r="E27" i="9"/>
  <c r="E20" i="9"/>
  <c r="E16" i="30"/>
  <c r="F25" i="1"/>
  <c r="D25" i="1"/>
  <c r="G61" i="10"/>
  <c r="G50" i="10"/>
  <c r="G38" i="10"/>
  <c r="G27" i="10"/>
  <c r="F11" i="4"/>
  <c r="H11" i="4"/>
  <c r="J11" i="4"/>
  <c r="K11" i="4"/>
  <c r="L11" i="4"/>
  <c r="M11" i="4"/>
  <c r="N11" i="4"/>
  <c r="O11" i="4"/>
  <c r="P11" i="4"/>
  <c r="Q11" i="4"/>
  <c r="R11" i="4"/>
  <c r="E11" i="4"/>
  <c r="F10" i="4"/>
  <c r="G10" i="4"/>
  <c r="G11" i="4" s="1"/>
  <c r="H10" i="4"/>
  <c r="J10" i="4"/>
  <c r="K10" i="4"/>
  <c r="L10" i="4"/>
  <c r="M10" i="4"/>
  <c r="N10" i="4"/>
  <c r="O10" i="4"/>
  <c r="P10" i="4"/>
  <c r="Q10" i="4"/>
  <c r="R10" i="4"/>
  <c r="E10" i="4"/>
  <c r="R8" i="4"/>
  <c r="R9" i="4"/>
  <c r="R7" i="4"/>
  <c r="I8" i="4"/>
  <c r="S8" i="4" s="1"/>
  <c r="I9" i="4"/>
  <c r="S9" i="4" s="1"/>
  <c r="I7" i="4"/>
  <c r="D21" i="21"/>
  <c r="D20" i="21"/>
  <c r="E20" i="21"/>
  <c r="C20" i="21"/>
  <c r="C8" i="21"/>
  <c r="C21" i="21" s="1"/>
  <c r="D19" i="21"/>
  <c r="E19" i="21"/>
  <c r="C19" i="21"/>
  <c r="D15" i="21"/>
  <c r="E15" i="21"/>
  <c r="C15" i="21"/>
  <c r="D11" i="21"/>
  <c r="E11" i="21"/>
  <c r="C11" i="21"/>
  <c r="D8" i="21"/>
  <c r="E8" i="21"/>
  <c r="E21" i="21" s="1"/>
  <c r="I15" i="10"/>
  <c r="E15" i="10"/>
  <c r="F15" i="2"/>
  <c r="F16" i="2"/>
  <c r="F17" i="2"/>
  <c r="F18" i="2"/>
  <c r="F19" i="2"/>
  <c r="F20" i="2"/>
  <c r="F21" i="2"/>
  <c r="F14" i="2"/>
  <c r="F10" i="2"/>
  <c r="F11" i="2"/>
  <c r="F12" i="2"/>
  <c r="F9" i="2"/>
  <c r="C22" i="2"/>
  <c r="C13" i="2"/>
  <c r="E22" i="2"/>
  <c r="I10" i="4" l="1"/>
  <c r="S10" i="4"/>
  <c r="I11" i="4"/>
  <c r="S7" i="4"/>
  <c r="S11" i="4" s="1"/>
  <c r="C23" i="2"/>
  <c r="H23" i="8" l="1"/>
  <c r="C36" i="8" l="1"/>
  <c r="E36" i="8"/>
  <c r="F36" i="8"/>
  <c r="B36" i="8"/>
  <c r="I23" i="8"/>
  <c r="I24" i="8"/>
  <c r="I25" i="8"/>
  <c r="I26" i="8"/>
  <c r="I27" i="8"/>
  <c r="I28" i="8"/>
  <c r="I29" i="8"/>
  <c r="I30" i="8"/>
  <c r="I31" i="8"/>
  <c r="I32" i="8"/>
  <c r="I33" i="8"/>
  <c r="I34" i="8"/>
  <c r="I35" i="8"/>
  <c r="H25" i="8"/>
  <c r="H26" i="8"/>
  <c r="H27" i="8"/>
  <c r="H28" i="8"/>
  <c r="H29" i="8"/>
  <c r="H30" i="8"/>
  <c r="H31" i="8"/>
  <c r="H32" i="8"/>
  <c r="H33" i="8"/>
  <c r="H34" i="8"/>
  <c r="H35" i="8"/>
  <c r="G24" i="8"/>
  <c r="G25" i="8"/>
  <c r="G26" i="8"/>
  <c r="G27" i="8"/>
  <c r="G28" i="8"/>
  <c r="G29" i="8"/>
  <c r="G30" i="8"/>
  <c r="G31" i="8"/>
  <c r="G32" i="8"/>
  <c r="G33" i="8"/>
  <c r="G34" i="8"/>
  <c r="G35" i="8"/>
  <c r="G23" i="8"/>
  <c r="D24" i="8"/>
  <c r="D25" i="8"/>
  <c r="D26" i="8"/>
  <c r="D27" i="8"/>
  <c r="D28" i="8"/>
  <c r="D29" i="8"/>
  <c r="D30" i="8"/>
  <c r="J30" i="8" s="1"/>
  <c r="D31" i="8"/>
  <c r="D32" i="8"/>
  <c r="D33" i="8"/>
  <c r="D34" i="8"/>
  <c r="D35" i="8"/>
  <c r="D23" i="8"/>
  <c r="J35" i="8" l="1"/>
  <c r="J26" i="8"/>
  <c r="J34" i="8"/>
  <c r="J33" i="8"/>
  <c r="J29" i="8"/>
  <c r="J31" i="8"/>
  <c r="J28" i="8"/>
  <c r="J27" i="8"/>
  <c r="G36" i="8"/>
  <c r="J32" i="8"/>
  <c r="H36" i="8"/>
  <c r="J25" i="8"/>
  <c r="J24" i="8"/>
  <c r="D36" i="8"/>
  <c r="I36" i="8"/>
  <c r="J23" i="8"/>
  <c r="J36" i="8" l="1"/>
  <c r="E25" i="27"/>
  <c r="E24" i="27"/>
  <c r="E23" i="27"/>
  <c r="E22" i="27"/>
  <c r="E21" i="27"/>
  <c r="E20" i="27"/>
  <c r="D28" i="9"/>
  <c r="C28" i="9"/>
  <c r="E26" i="27" l="1"/>
  <c r="E28" i="9"/>
  <c r="J9" i="2" l="1"/>
  <c r="G9" i="2" s="1"/>
  <c r="E24" i="29" l="1"/>
  <c r="H22" i="2" l="1"/>
  <c r="U10" i="2"/>
  <c r="U11" i="2"/>
  <c r="U12" i="2"/>
  <c r="U14" i="2"/>
  <c r="U15" i="2"/>
  <c r="U16" i="2"/>
  <c r="U17" i="2"/>
  <c r="U18" i="2"/>
  <c r="U19" i="2"/>
  <c r="U20" i="2"/>
  <c r="U21" i="2"/>
  <c r="U9" i="2"/>
  <c r="Q10" i="2"/>
  <c r="Q11" i="2"/>
  <c r="Q12" i="2"/>
  <c r="Q14" i="2"/>
  <c r="Q15" i="2"/>
  <c r="Q16" i="2"/>
  <c r="Q18" i="2"/>
  <c r="Q19" i="2"/>
  <c r="Q20" i="2"/>
  <c r="Q21" i="2"/>
  <c r="Q9" i="2"/>
  <c r="M10" i="2"/>
  <c r="M11" i="2"/>
  <c r="M12" i="2"/>
  <c r="M14" i="2"/>
  <c r="M15" i="2"/>
  <c r="M16" i="2"/>
  <c r="M17" i="2"/>
  <c r="M18" i="2"/>
  <c r="M19" i="2"/>
  <c r="M20" i="2"/>
  <c r="M21" i="2"/>
  <c r="M9" i="2"/>
  <c r="J10" i="2"/>
  <c r="J11" i="2"/>
  <c r="J12" i="2"/>
  <c r="J14" i="2"/>
  <c r="J15" i="2"/>
  <c r="J16" i="2"/>
  <c r="J17" i="2"/>
  <c r="J18" i="2"/>
  <c r="J19" i="2"/>
  <c r="J20" i="2"/>
  <c r="J21" i="2"/>
  <c r="G21" i="2" l="1"/>
  <c r="G18" i="2"/>
  <c r="G16" i="2"/>
  <c r="G15" i="2"/>
  <c r="N15" i="2" s="1"/>
  <c r="G12" i="2"/>
  <c r="G20" i="2"/>
  <c r="G19" i="2"/>
  <c r="G17" i="2"/>
  <c r="G14" i="2"/>
  <c r="V14" i="2" s="1"/>
  <c r="G10" i="2"/>
  <c r="G11" i="2"/>
  <c r="N14" i="2" l="1"/>
  <c r="R14" i="2"/>
  <c r="J15" i="10" l="1"/>
  <c r="N10" i="2" l="1"/>
  <c r="R10" i="2"/>
  <c r="V10" i="2"/>
  <c r="N11" i="2"/>
  <c r="R11" i="2"/>
  <c r="V11" i="2"/>
  <c r="N12" i="2"/>
  <c r="R12" i="2"/>
  <c r="V12" i="2"/>
  <c r="D13" i="2"/>
  <c r="E13" i="2"/>
  <c r="H13" i="2"/>
  <c r="I13" i="2"/>
  <c r="K13" i="2"/>
  <c r="L13" i="2"/>
  <c r="O13" i="2"/>
  <c r="P13" i="2"/>
  <c r="S13" i="2"/>
  <c r="T13" i="2"/>
  <c r="R15" i="2"/>
  <c r="V15" i="2"/>
  <c r="N16" i="2"/>
  <c r="R16" i="2"/>
  <c r="V16" i="2"/>
  <c r="N17" i="2"/>
  <c r="R17" i="2"/>
  <c r="V17" i="2"/>
  <c r="N18" i="2"/>
  <c r="R18" i="2"/>
  <c r="V18" i="2"/>
  <c r="N19" i="2"/>
  <c r="R19" i="2"/>
  <c r="V19" i="2"/>
  <c r="N20" i="2"/>
  <c r="R20" i="2"/>
  <c r="V20" i="2"/>
  <c r="N21" i="2"/>
  <c r="R21" i="2"/>
  <c r="V21" i="2"/>
  <c r="D22" i="2"/>
  <c r="F22" i="2" s="1"/>
  <c r="I22" i="2"/>
  <c r="K22" i="2"/>
  <c r="L22" i="2"/>
  <c r="O22" i="2"/>
  <c r="P22" i="2"/>
  <c r="S22" i="2"/>
  <c r="T22" i="2"/>
  <c r="J13" i="2" l="1"/>
  <c r="M13" i="2"/>
  <c r="F13" i="2"/>
  <c r="U22" i="2"/>
  <c r="Q22" i="2"/>
  <c r="M22" i="2"/>
  <c r="U13" i="2"/>
  <c r="Q13" i="2"/>
  <c r="J22" i="2"/>
  <c r="P23" i="2"/>
  <c r="O23" i="2"/>
  <c r="H23" i="2"/>
  <c r="I23" i="2"/>
  <c r="E23" i="2"/>
  <c r="D23" i="2"/>
  <c r="T23" i="2"/>
  <c r="L23" i="2"/>
  <c r="S23" i="2"/>
  <c r="K23" i="2"/>
  <c r="F23" i="2" l="1"/>
  <c r="M23" i="2"/>
  <c r="U23" i="2"/>
  <c r="Q23" i="2"/>
  <c r="G22" i="2"/>
  <c r="N22" i="2" s="1"/>
  <c r="G13" i="2"/>
  <c r="J23" i="2"/>
  <c r="R22" i="2" l="1"/>
  <c r="V13" i="2"/>
  <c r="N13" i="2"/>
  <c r="R13" i="2"/>
  <c r="V22" i="2"/>
  <c r="G23" i="2"/>
  <c r="V23" i="2" s="1"/>
  <c r="R23" i="2" l="1"/>
  <c r="N23" i="2"/>
  <c r="N9" i="2" l="1"/>
  <c r="R9" i="2" l="1"/>
  <c r="V9" i="2"/>
</calcChain>
</file>

<file path=xl/sharedStrings.xml><?xml version="1.0" encoding="utf-8"?>
<sst xmlns="http://schemas.openxmlformats.org/spreadsheetml/2006/main" count="586" uniqueCount="306">
  <si>
    <t>Classe</t>
  </si>
  <si>
    <t>Nombre</t>
  </si>
  <si>
    <t>Total</t>
  </si>
  <si>
    <t>G</t>
  </si>
  <si>
    <t>F</t>
  </si>
  <si>
    <t>Niveaux</t>
  </si>
  <si>
    <t>Matricule</t>
  </si>
  <si>
    <t>Nom et Prénom(s)</t>
  </si>
  <si>
    <t>Sexe</t>
  </si>
  <si>
    <t>Nationalité</t>
  </si>
  <si>
    <t>Moyenne</t>
  </si>
  <si>
    <t>Rang</t>
  </si>
  <si>
    <t>classe</t>
  </si>
  <si>
    <t>Chapitre II : EFFECTIFS ET PYRAMIDES</t>
  </si>
  <si>
    <t>N° d’ordre</t>
  </si>
  <si>
    <t>Nom et Prénoms</t>
  </si>
  <si>
    <t>Filles</t>
  </si>
  <si>
    <t>TOTAL</t>
  </si>
  <si>
    <t>Chapitre III : PERSONNEL ENSEIGNANT ET ADMINISTRATIF</t>
  </si>
  <si>
    <r>
      <t>A.</t>
    </r>
    <r>
      <rPr>
        <b/>
        <sz val="7"/>
        <color theme="1"/>
        <rFont val="Times New Roman"/>
        <family val="1"/>
      </rPr>
      <t xml:space="preserve">   </t>
    </r>
    <r>
      <rPr>
        <b/>
        <sz val="12"/>
        <color theme="1"/>
        <rFont val="Arial"/>
        <family val="2"/>
      </rPr>
      <t>ETAT DU PERSONNEL ENSEIGNANT</t>
    </r>
  </si>
  <si>
    <t>Diplôme</t>
  </si>
  <si>
    <t>Statut</t>
  </si>
  <si>
    <t>N° CNPS</t>
  </si>
  <si>
    <t>N° d’autorisation .d’enseigner</t>
  </si>
  <si>
    <t>Matière enseignée</t>
  </si>
  <si>
    <t>Fonctionnaire</t>
  </si>
  <si>
    <t>Privés</t>
  </si>
  <si>
    <t>Vacataire</t>
  </si>
  <si>
    <t>Permanent</t>
  </si>
  <si>
    <t>ENSEIGNANTS PAR DISCIPLINE</t>
  </si>
  <si>
    <r>
      <t>B.</t>
    </r>
    <r>
      <rPr>
        <b/>
        <sz val="7"/>
        <color theme="1"/>
        <rFont val="Times New Roman"/>
        <family val="1"/>
      </rPr>
      <t xml:space="preserve">   </t>
    </r>
    <r>
      <rPr>
        <b/>
        <sz val="12"/>
        <color theme="1"/>
        <rFont val="Arial"/>
        <family val="2"/>
      </rPr>
      <t>ETAT DU PERSONNEL ADMINISTRATIF</t>
    </r>
  </si>
  <si>
    <t>Fonction</t>
  </si>
  <si>
    <t>CHAPITRE IV : LES CAS SOCIAUX</t>
  </si>
  <si>
    <t xml:space="preserve">N° </t>
  </si>
  <si>
    <t xml:space="preserve">Matricule </t>
  </si>
  <si>
    <t xml:space="preserve">Classe </t>
  </si>
  <si>
    <t xml:space="preserve">Handicap </t>
  </si>
  <si>
    <t>Âge</t>
  </si>
  <si>
    <t>Auteur</t>
  </si>
  <si>
    <t xml:space="preserve">Profession </t>
  </si>
  <si>
    <t>N° du certificat justifiant l'arrêt des cours</t>
  </si>
  <si>
    <t>Chapitre I : VIE PEDAGOGIQUE ET RESULTATS SCOLAIRES</t>
  </si>
  <si>
    <t>A. VIE PEDAGOGIQUE</t>
  </si>
  <si>
    <t>N°</t>
  </si>
  <si>
    <t>Enseignants</t>
  </si>
  <si>
    <t>Disciplines</t>
  </si>
  <si>
    <t>Dates</t>
  </si>
  <si>
    <t>Observations</t>
  </si>
  <si>
    <t>Enseignants  Formés</t>
  </si>
  <si>
    <t>Nombre  de formations</t>
  </si>
  <si>
    <t>B. RESULTATS SCOLAIRES</t>
  </si>
  <si>
    <t>SECOND CYCLE</t>
  </si>
  <si>
    <t>TOTAL GENERAL</t>
  </si>
  <si>
    <t>6ème</t>
  </si>
  <si>
    <t>4ème</t>
  </si>
  <si>
    <t>3ème</t>
  </si>
  <si>
    <t>2ndeA</t>
  </si>
  <si>
    <t>2ndeC</t>
  </si>
  <si>
    <t>1èreA</t>
  </si>
  <si>
    <t>1èreC</t>
  </si>
  <si>
    <t>1èreD</t>
  </si>
  <si>
    <t>Tle A</t>
  </si>
  <si>
    <t>Tle D</t>
  </si>
  <si>
    <t>T</t>
  </si>
  <si>
    <t>Niveau</t>
  </si>
  <si>
    <t>6è</t>
  </si>
  <si>
    <t>5è</t>
  </si>
  <si>
    <t>4è</t>
  </si>
  <si>
    <t>3è</t>
  </si>
  <si>
    <t>TleA</t>
  </si>
  <si>
    <t>TleC</t>
  </si>
  <si>
    <t>TleD</t>
  </si>
  <si>
    <t>Total Général</t>
  </si>
  <si>
    <t>N° d’autorisation</t>
  </si>
  <si>
    <t xml:space="preserve">Nom et Prénoms </t>
  </si>
  <si>
    <t>Date de dépôt du certificat médical</t>
  </si>
  <si>
    <t>Type de maladie</t>
  </si>
  <si>
    <t>Durée de l’arrêt des cours</t>
  </si>
  <si>
    <t>Effectif</t>
  </si>
  <si>
    <t>Classés</t>
  </si>
  <si>
    <t>Non-Classés</t>
  </si>
  <si>
    <t>Elèves ayant Moy≥10</t>
  </si>
  <si>
    <t xml:space="preserve">Elèves ayant 8,50 ≤ Moy &lt; 10 </t>
  </si>
  <si>
    <t>Elèves ayant Moy&lt; 8,50</t>
  </si>
  <si>
    <t>Garç</t>
  </si>
  <si>
    <r>
      <t xml:space="preserve">0 </t>
    </r>
    <r>
      <rPr>
        <b/>
        <sz val="10"/>
        <color theme="1"/>
        <rFont val="Calibri"/>
        <family val="2"/>
        <scheme val="minor"/>
      </rPr>
      <t>/</t>
    </r>
    <r>
      <rPr>
        <b/>
        <vertAlign val="subscript"/>
        <sz val="10"/>
        <color theme="1"/>
        <rFont val="Calibri"/>
        <family val="2"/>
        <scheme val="minor"/>
      </rPr>
      <t>0</t>
    </r>
  </si>
  <si>
    <r>
      <t>0</t>
    </r>
    <r>
      <rPr>
        <b/>
        <sz val="10"/>
        <color theme="1"/>
        <rFont val="Calibri"/>
        <family val="2"/>
        <scheme val="minor"/>
      </rPr>
      <t>/</t>
    </r>
    <r>
      <rPr>
        <b/>
        <vertAlign val="subscript"/>
        <sz val="10"/>
        <color theme="1"/>
        <rFont val="Calibri"/>
        <family val="2"/>
        <scheme val="minor"/>
      </rPr>
      <t>0</t>
    </r>
  </si>
  <si>
    <t>Total 1er cycle</t>
  </si>
  <si>
    <t>Total 2nd cycle</t>
  </si>
  <si>
    <t>PREMIER CYCLE</t>
  </si>
  <si>
    <r>
      <t>6</t>
    </r>
    <r>
      <rPr>
        <b/>
        <vertAlign val="superscript"/>
        <sz val="12"/>
        <color theme="1"/>
        <rFont val="Agency FB"/>
        <family val="2"/>
      </rPr>
      <t>è</t>
    </r>
  </si>
  <si>
    <r>
      <t>5</t>
    </r>
    <r>
      <rPr>
        <b/>
        <vertAlign val="superscript"/>
        <sz val="12"/>
        <color theme="1"/>
        <rFont val="Agency FB"/>
        <family val="2"/>
      </rPr>
      <t>è</t>
    </r>
  </si>
  <si>
    <r>
      <t>4</t>
    </r>
    <r>
      <rPr>
        <b/>
        <vertAlign val="superscript"/>
        <sz val="12"/>
        <color theme="1"/>
        <rFont val="Agency FB"/>
        <family val="2"/>
      </rPr>
      <t>è</t>
    </r>
  </si>
  <si>
    <r>
      <t>3</t>
    </r>
    <r>
      <rPr>
        <b/>
        <vertAlign val="superscript"/>
        <sz val="12"/>
        <color theme="1"/>
        <rFont val="Agency FB"/>
        <family val="2"/>
      </rPr>
      <t>è</t>
    </r>
  </si>
  <si>
    <r>
      <t>2</t>
    </r>
    <r>
      <rPr>
        <b/>
        <vertAlign val="superscript"/>
        <sz val="11"/>
        <color theme="1"/>
        <rFont val="Agency FB"/>
        <family val="2"/>
      </rPr>
      <t>e</t>
    </r>
    <r>
      <rPr>
        <b/>
        <sz val="11"/>
        <color theme="1"/>
        <rFont val="Agency FB"/>
        <family val="2"/>
      </rPr>
      <t>A</t>
    </r>
  </si>
  <si>
    <r>
      <t>2</t>
    </r>
    <r>
      <rPr>
        <b/>
        <vertAlign val="superscript"/>
        <sz val="11"/>
        <color theme="1"/>
        <rFont val="Agency FB"/>
        <family val="2"/>
      </rPr>
      <t>e</t>
    </r>
    <r>
      <rPr>
        <b/>
        <sz val="11"/>
        <color theme="1"/>
        <rFont val="Agency FB"/>
        <family val="2"/>
      </rPr>
      <t>C</t>
    </r>
  </si>
  <si>
    <r>
      <t>1</t>
    </r>
    <r>
      <rPr>
        <b/>
        <vertAlign val="superscript"/>
        <sz val="12"/>
        <color theme="1"/>
        <rFont val="Agency FB"/>
        <family val="2"/>
      </rPr>
      <t>ère</t>
    </r>
    <r>
      <rPr>
        <b/>
        <sz val="12"/>
        <color theme="1"/>
        <rFont val="Agency FB"/>
        <family val="2"/>
      </rPr>
      <t>A</t>
    </r>
  </si>
  <si>
    <r>
      <t>1</t>
    </r>
    <r>
      <rPr>
        <b/>
        <vertAlign val="superscript"/>
        <sz val="12"/>
        <color theme="1"/>
        <rFont val="Agency FB"/>
        <family val="2"/>
      </rPr>
      <t>ère</t>
    </r>
    <r>
      <rPr>
        <b/>
        <sz val="12"/>
        <color theme="1"/>
        <rFont val="Agency FB"/>
        <family val="2"/>
      </rPr>
      <t>C</t>
    </r>
  </si>
  <si>
    <r>
      <t>1</t>
    </r>
    <r>
      <rPr>
        <b/>
        <vertAlign val="superscript"/>
        <sz val="12"/>
        <color theme="1"/>
        <rFont val="Agency FB"/>
        <family val="2"/>
      </rPr>
      <t>ère</t>
    </r>
    <r>
      <rPr>
        <b/>
        <sz val="12"/>
        <color theme="1"/>
        <rFont val="Agency FB"/>
        <family val="2"/>
      </rPr>
      <t>D</t>
    </r>
  </si>
  <si>
    <t>Nombre de Classes</t>
  </si>
  <si>
    <t>Effectifs Par classe</t>
  </si>
  <si>
    <t>Effectifs par Niveau</t>
  </si>
  <si>
    <t>INTRODUCTION</t>
  </si>
  <si>
    <t>Français</t>
  </si>
  <si>
    <t>5ème</t>
  </si>
  <si>
    <t>2nde A</t>
  </si>
  <si>
    <t>2nde C</t>
  </si>
  <si>
    <t>1ere D</t>
  </si>
  <si>
    <t>Anglais</t>
  </si>
  <si>
    <t>Espagnol</t>
  </si>
  <si>
    <t>Philosophie</t>
  </si>
  <si>
    <t>Allemand</t>
  </si>
  <si>
    <t>SECRETAIRE</t>
  </si>
  <si>
    <t>Nom et prenoms et qualité du visiteur</t>
  </si>
  <si>
    <t>Nom et prenoms et qualité du formateur</t>
  </si>
  <si>
    <t>TOTAL NOMBRE DE VISITES</t>
  </si>
  <si>
    <t>TOTAL NOMBRE DE FORMATIONS</t>
  </si>
  <si>
    <r>
      <t>1.</t>
    </r>
    <r>
      <rPr>
        <sz val="7"/>
        <color theme="1"/>
        <rFont val="Times New Roman"/>
        <family val="1"/>
      </rPr>
      <t xml:space="preserve">    </t>
    </r>
    <r>
      <rPr>
        <sz val="12"/>
        <color theme="1"/>
        <rFont val="Times New Roman"/>
        <family val="1"/>
      </rPr>
      <t>Activités des Unités Pédagogiques et des Conseils d’Enseignement</t>
    </r>
  </si>
  <si>
    <r>
      <t>2.</t>
    </r>
    <r>
      <rPr>
        <sz val="7"/>
        <color theme="1"/>
        <rFont val="Times New Roman"/>
        <family val="1"/>
      </rPr>
      <t xml:space="preserve">    </t>
    </r>
    <r>
      <rPr>
        <sz val="12"/>
        <color theme="1"/>
        <rFont val="Times New Roman"/>
        <family val="1"/>
      </rPr>
      <t>Visites de classes et formations</t>
    </r>
  </si>
  <si>
    <t>1ere A</t>
  </si>
  <si>
    <t>Genre</t>
  </si>
  <si>
    <t xml:space="preserve"> SECOND CYCLE</t>
  </si>
  <si>
    <t>DISCIPLINE</t>
  </si>
  <si>
    <t xml:space="preserve">Existants (Nombre ) </t>
  </si>
  <si>
    <t>Existants</t>
  </si>
  <si>
    <t>H</t>
  </si>
  <si>
    <t>Arts Plastiques</t>
  </si>
  <si>
    <t>E P S</t>
  </si>
  <si>
    <t>H-G/L. MOD</t>
  </si>
  <si>
    <t xml:space="preserve">             FONCTIONS</t>
  </si>
  <si>
    <t>EXISTANTS (Nombre)</t>
  </si>
  <si>
    <t>INFIRMIERS</t>
  </si>
  <si>
    <t>AUTRES</t>
  </si>
  <si>
    <t>OBSERVATIONS</t>
  </si>
  <si>
    <t>DIRECTEURS DES ETUDES</t>
  </si>
  <si>
    <t xml:space="preserve">ECONOME </t>
  </si>
  <si>
    <t xml:space="preserve">EDUCATEURS </t>
  </si>
  <si>
    <t>Date du décès</t>
  </si>
  <si>
    <t>Cause du décès</t>
  </si>
  <si>
    <t>PREMIER   CYCLE</t>
  </si>
  <si>
    <t>SECOND   CYCLE</t>
  </si>
  <si>
    <t>2NDE</t>
  </si>
  <si>
    <t>1ERE</t>
  </si>
  <si>
    <t>TLE</t>
  </si>
  <si>
    <t>FONCTIONS</t>
  </si>
  <si>
    <t>EXISTANTS</t>
  </si>
  <si>
    <t>Laborantins</t>
  </si>
  <si>
    <t>Bibliothécaires</t>
  </si>
  <si>
    <t>Vaguemestres</t>
  </si>
  <si>
    <t>Gardiens</t>
  </si>
  <si>
    <t>Manœuvres (Techn. De surface)</t>
  </si>
  <si>
    <t>Magasiniers</t>
  </si>
  <si>
    <t>Contact</t>
  </si>
  <si>
    <t>E-mail</t>
  </si>
  <si>
    <t>2.1 Résultats scolaires des élèves affectés par classe et par niveau</t>
  </si>
  <si>
    <t>date de naissance</t>
  </si>
  <si>
    <t>AFFECTES</t>
  </si>
  <si>
    <r>
      <t>2.</t>
    </r>
    <r>
      <rPr>
        <b/>
        <sz val="7"/>
        <color theme="1"/>
        <rFont val="Times New Roman"/>
        <family val="1"/>
      </rPr>
      <t xml:space="preserve">    </t>
    </r>
    <r>
      <rPr>
        <b/>
        <sz val="12"/>
        <color theme="1"/>
        <rFont val="Arial"/>
        <family val="2"/>
      </rPr>
      <t>Résultats de fin de trimestre</t>
    </r>
  </si>
  <si>
    <r>
      <rPr>
        <b/>
        <sz val="11"/>
        <color theme="1"/>
        <rFont val="Arial"/>
        <family val="2"/>
      </rPr>
      <t xml:space="preserve"> 3</t>
    </r>
    <r>
      <rPr>
        <b/>
        <sz val="14"/>
        <color theme="1"/>
        <rFont val="Arial"/>
        <family val="2"/>
      </rPr>
      <t> .</t>
    </r>
    <r>
      <rPr>
        <b/>
        <sz val="12"/>
        <color theme="1"/>
        <rFont val="Arial"/>
        <family val="2"/>
      </rPr>
      <t>Liste des majors de classe</t>
    </r>
  </si>
  <si>
    <r>
      <t>C-</t>
    </r>
    <r>
      <rPr>
        <b/>
        <sz val="14"/>
        <color theme="1"/>
        <rFont val="Times New Roman"/>
        <family val="1"/>
      </rPr>
      <t>ETAT DU PERSONNEL DE SERVICES</t>
    </r>
  </si>
  <si>
    <t>SVT</t>
  </si>
  <si>
    <t>CONCLUSION</t>
  </si>
  <si>
    <t>NOM ETABLISSEMENT</t>
  </si>
  <si>
    <t xml:space="preserve">               A/  EFFECTIFS ET PYRAMIDES</t>
  </si>
  <si>
    <t>Maths</t>
  </si>
  <si>
    <t>Maths/tice</t>
  </si>
  <si>
    <t xml:space="preserve">    </t>
  </si>
  <si>
    <t>1ere C</t>
  </si>
  <si>
    <t>Tle C</t>
  </si>
  <si>
    <t>Autres</t>
  </si>
  <si>
    <t>P-C</t>
  </si>
  <si>
    <t xml:space="preserve">DIRECTEUR ADJOINT </t>
  </si>
  <si>
    <t>H,G</t>
  </si>
  <si>
    <t xml:space="preserve">COMMENTAIRES : </t>
  </si>
  <si>
    <t>Année de naissance</t>
  </si>
  <si>
    <t>TL  GL</t>
  </si>
  <si>
    <r>
      <t>6</t>
    </r>
    <r>
      <rPr>
        <b/>
        <vertAlign val="superscript"/>
        <sz val="14"/>
        <color theme="1"/>
        <rFont val="Times New Roman"/>
        <family val="1"/>
      </rPr>
      <t>ème</t>
    </r>
  </si>
  <si>
    <r>
      <t>5</t>
    </r>
    <r>
      <rPr>
        <b/>
        <vertAlign val="superscript"/>
        <sz val="14"/>
        <color theme="1"/>
        <rFont val="Times New Roman"/>
        <family val="1"/>
      </rPr>
      <t>ème</t>
    </r>
  </si>
  <si>
    <r>
      <t>4</t>
    </r>
    <r>
      <rPr>
        <b/>
        <vertAlign val="superscript"/>
        <sz val="14"/>
        <color theme="1"/>
        <rFont val="Times New Roman"/>
        <family val="1"/>
      </rPr>
      <t>ème</t>
    </r>
  </si>
  <si>
    <r>
      <t>3</t>
    </r>
    <r>
      <rPr>
        <b/>
        <vertAlign val="superscript"/>
        <sz val="14"/>
        <color theme="1"/>
        <rFont val="Times New Roman"/>
        <family val="1"/>
      </rPr>
      <t>ème</t>
    </r>
  </si>
  <si>
    <r>
      <t>2</t>
    </r>
    <r>
      <rPr>
        <b/>
        <vertAlign val="superscript"/>
        <sz val="14"/>
        <color theme="1"/>
        <rFont val="Times New Roman"/>
        <family val="1"/>
      </rPr>
      <t>e</t>
    </r>
    <r>
      <rPr>
        <b/>
        <sz val="14"/>
        <color theme="1"/>
        <rFont val="Times New Roman"/>
        <family val="1"/>
      </rPr>
      <t>A</t>
    </r>
  </si>
  <si>
    <r>
      <t>2</t>
    </r>
    <r>
      <rPr>
        <b/>
        <vertAlign val="superscript"/>
        <sz val="14"/>
        <color theme="1"/>
        <rFont val="Times New Roman"/>
        <family val="1"/>
      </rPr>
      <t>e</t>
    </r>
    <r>
      <rPr>
        <b/>
        <sz val="14"/>
        <color theme="1"/>
        <rFont val="Times New Roman"/>
        <family val="1"/>
      </rPr>
      <t>C</t>
    </r>
  </si>
  <si>
    <r>
      <t>1</t>
    </r>
    <r>
      <rPr>
        <b/>
        <vertAlign val="superscript"/>
        <sz val="14"/>
        <color theme="1"/>
        <rFont val="Times New Roman"/>
        <family val="1"/>
      </rPr>
      <t>ère</t>
    </r>
    <r>
      <rPr>
        <b/>
        <sz val="14"/>
        <color theme="1"/>
        <rFont val="Times New Roman"/>
        <family val="1"/>
      </rPr>
      <t>A</t>
    </r>
  </si>
  <si>
    <r>
      <t>1</t>
    </r>
    <r>
      <rPr>
        <b/>
        <vertAlign val="superscript"/>
        <sz val="14"/>
        <color theme="1"/>
        <rFont val="Times New Roman"/>
        <family val="1"/>
      </rPr>
      <t>ère</t>
    </r>
    <r>
      <rPr>
        <b/>
        <sz val="14"/>
        <color theme="1"/>
        <rFont val="Times New Roman"/>
        <family val="1"/>
      </rPr>
      <t>C</t>
    </r>
  </si>
  <si>
    <r>
      <t>1</t>
    </r>
    <r>
      <rPr>
        <b/>
        <vertAlign val="superscript"/>
        <sz val="14"/>
        <color theme="1"/>
        <rFont val="Times New Roman"/>
        <family val="1"/>
      </rPr>
      <t>ère</t>
    </r>
    <r>
      <rPr>
        <b/>
        <sz val="14"/>
        <color theme="1"/>
        <rFont val="Times New Roman"/>
        <family val="1"/>
      </rPr>
      <t>D</t>
    </r>
  </si>
  <si>
    <t>SANS EXTRAIT</t>
  </si>
  <si>
    <t>ÂGE INCORRECT</t>
  </si>
  <si>
    <r>
      <t>TOTAL</t>
    </r>
    <r>
      <rPr>
        <b/>
        <sz val="12"/>
        <color rgb="FFFF0000"/>
        <rFont val="Times New Roman"/>
        <family val="1"/>
      </rPr>
      <t xml:space="preserve"> (Saisie Etablissement)</t>
    </r>
  </si>
  <si>
    <r>
      <t xml:space="preserve">REFERENCE </t>
    </r>
    <r>
      <rPr>
        <b/>
        <sz val="12"/>
        <color rgb="FFFF0000"/>
        <rFont val="Times New Roman"/>
        <family val="1"/>
      </rPr>
      <t>(Effectif pyramide )</t>
    </r>
  </si>
  <si>
    <t xml:space="preserve">CONTRÔLE </t>
  </si>
  <si>
    <t>NIVEAU</t>
  </si>
  <si>
    <t>T.G</t>
  </si>
  <si>
    <t>Nbre classes</t>
  </si>
  <si>
    <t>2-1-Visites de classes</t>
  </si>
  <si>
    <t>2-2-Formations</t>
  </si>
  <si>
    <t>B/ REPARTITION DES ELEVES PAR ANNEE DE NAISSANCE</t>
  </si>
  <si>
    <t>CORRESPONDANTS FICHIERS</t>
  </si>
  <si>
    <t>A- CAS DE GROSSESSES</t>
  </si>
  <si>
    <t>B- CAS DE HANDICAP</t>
  </si>
  <si>
    <t>C- CAS DE MALADIE</t>
  </si>
  <si>
    <t>D-CAS D'ABANDONS</t>
  </si>
  <si>
    <t>E- CAS DE DECES</t>
  </si>
  <si>
    <r>
      <t xml:space="preserve">NOMBRE TOTAL DE CAS DE DECES DU 1er </t>
    </r>
    <r>
      <rPr>
        <b/>
        <sz val="12"/>
        <color rgb="FFFF0000"/>
        <rFont val="Calibri"/>
        <family val="2"/>
      </rPr>
      <t xml:space="preserve"> trimestre=</t>
    </r>
  </si>
  <si>
    <r>
      <t xml:space="preserve">NOMBRE TOTAL DE CAS D'ABANDONS DU 1er </t>
    </r>
    <r>
      <rPr>
        <b/>
        <sz val="12"/>
        <color rgb="FFFF0000"/>
        <rFont val="Calibri"/>
        <family val="2"/>
      </rPr>
      <t xml:space="preserve"> trimestre=</t>
    </r>
  </si>
  <si>
    <r>
      <t xml:space="preserve">NOMBRE TOTAL DE CAS DE MALADIE DU 1er </t>
    </r>
    <r>
      <rPr>
        <b/>
        <sz val="11"/>
        <color rgb="FFFF0000"/>
        <rFont val="Calibri"/>
        <family val="2"/>
      </rPr>
      <t>trimestre =</t>
    </r>
  </si>
  <si>
    <r>
      <t xml:space="preserve">NOMBRE TOTAL DE CAS DE HANDICAP DU 1er </t>
    </r>
    <r>
      <rPr>
        <b/>
        <sz val="11"/>
        <color rgb="FFFF0000"/>
        <rFont val="Calibri"/>
        <family val="2"/>
      </rPr>
      <t>trimestre =</t>
    </r>
  </si>
  <si>
    <t>B. NOMBRE D'ELEVES</t>
  </si>
  <si>
    <t>NOMBRE D'ELEVES AFFECTES</t>
  </si>
  <si>
    <t>NOMBRE D'ELEVES NON AFFECTES</t>
  </si>
  <si>
    <t>TOTAL 2nde</t>
  </si>
  <si>
    <t>TOTAL 1ère</t>
  </si>
  <si>
    <t>TOTAL Tle</t>
  </si>
  <si>
    <t>TOTAL Général</t>
  </si>
  <si>
    <t>total 1</t>
  </si>
  <si>
    <t>total 2</t>
  </si>
  <si>
    <t>Type d’activité UP</t>
  </si>
  <si>
    <t>Type d’activité CE</t>
  </si>
  <si>
    <t>Réunions d'UP</t>
  </si>
  <si>
    <t>Choix des supports de cours et mise en commun</t>
  </si>
  <si>
    <t>Harmonisation des progressions, des documents et manuels pédagogiques</t>
  </si>
  <si>
    <t>Encadrement des nouveaux ou stagiaires et des clubs</t>
  </si>
  <si>
    <t>Examens blancs, Concours</t>
  </si>
  <si>
    <t>Devoirs de niveaux</t>
  </si>
  <si>
    <t>Classes ouvertes et visites de classes</t>
  </si>
  <si>
    <t>Elaboration de cours et supports</t>
  </si>
  <si>
    <t>Elaboration des sujets d'examens</t>
  </si>
  <si>
    <t>Formations</t>
  </si>
  <si>
    <t>Elaboration de devoirs de niveaux</t>
  </si>
  <si>
    <t>Restitution d'atelier et CR</t>
  </si>
  <si>
    <t>Bilan d'activités</t>
  </si>
  <si>
    <t>Activités culturelles</t>
  </si>
  <si>
    <t>Corrections de devoirs</t>
  </si>
  <si>
    <t>Séance de rémédiation et de régularisation</t>
  </si>
  <si>
    <t>Action sociale</t>
  </si>
  <si>
    <t>Date</t>
  </si>
  <si>
    <t>Heures</t>
  </si>
  <si>
    <t>Red / NRed</t>
  </si>
  <si>
    <t>directeur des etudes</t>
  </si>
  <si>
    <t>Kone karidja</t>
  </si>
  <si>
    <t>francais</t>
  </si>
  <si>
    <t>7H30</t>
  </si>
  <si>
    <t>RAS</t>
  </si>
  <si>
    <t>Directeur des etudes</t>
  </si>
  <si>
    <t>Ouattara Dofangana</t>
  </si>
  <si>
    <t>math</t>
  </si>
  <si>
    <t>8h20</t>
  </si>
  <si>
    <t>Koffi Koffi</t>
  </si>
  <si>
    <t>Sylla Ibrahim</t>
  </si>
  <si>
    <t>NEANT</t>
  </si>
  <si>
    <t>MAITRISE</t>
  </si>
  <si>
    <t>M</t>
  </si>
  <si>
    <t xml:space="preserve">DIRECTEUR </t>
  </si>
  <si>
    <t>1838/ 2 OCT 2014</t>
  </si>
  <si>
    <t>KONATE ABOUBAKAR S.</t>
  </si>
  <si>
    <t>TOURE BARAKISSA</t>
  </si>
  <si>
    <t>BTS</t>
  </si>
  <si>
    <t>COMPTABLE</t>
  </si>
  <si>
    <t>KONE NASSOU</t>
  </si>
  <si>
    <t>CAISSIERE</t>
  </si>
  <si>
    <t>BAKARY OUATTARA</t>
  </si>
  <si>
    <t>INFOR/ C.F</t>
  </si>
  <si>
    <t>SORO T. ADJARATOU</t>
  </si>
  <si>
    <t>LICENCE</t>
  </si>
  <si>
    <t>OUATTARA NENE</t>
  </si>
  <si>
    <t>ACCUEIL SCOL</t>
  </si>
  <si>
    <t>BINATE ALASSANE</t>
  </si>
  <si>
    <t>EDUCATEUR</t>
  </si>
  <si>
    <t>SORO LACINA</t>
  </si>
  <si>
    <t>CHAUFFEUR</t>
  </si>
  <si>
    <t>OUSMANE YATASSAI</t>
  </si>
  <si>
    <t>GARDIEN</t>
  </si>
  <si>
    <t>24282170L</t>
  </si>
  <si>
    <t>COULIBALY KINIDINNIN SALIMATA</t>
  </si>
  <si>
    <t xml:space="preserve">IVOIRIENNE </t>
  </si>
  <si>
    <t xml:space="preserve">NON </t>
  </si>
  <si>
    <t>6EME</t>
  </si>
  <si>
    <t xml:space="preserve">SORO KOUNADI IMANE </t>
  </si>
  <si>
    <t>24305074P</t>
  </si>
  <si>
    <t>5EME</t>
  </si>
  <si>
    <t>23767368A</t>
  </si>
  <si>
    <t>DIABATE AICHATOU KEHIRA</t>
  </si>
  <si>
    <t>4EME</t>
  </si>
  <si>
    <t>KONE EPSE YEO KARIDJA TIAPE</t>
  </si>
  <si>
    <t>OUATTARA DOFANGANA</t>
  </si>
  <si>
    <t>SYLLA IBRAHIM</t>
  </si>
  <si>
    <t>KONE ABOUBAKARY</t>
  </si>
  <si>
    <t>SORO T. ADAMA</t>
  </si>
  <si>
    <t>TOURE MAHAMOUD</t>
  </si>
  <si>
    <t>AKAFFOU CHARLY</t>
  </si>
  <si>
    <t>DIALLO MOHAMED</t>
  </si>
  <si>
    <t>KONE FOUSSENI</t>
  </si>
  <si>
    <t>TUO NANGA INZA</t>
  </si>
  <si>
    <t xml:space="preserve">LICENCE </t>
  </si>
  <si>
    <t>OUI</t>
  </si>
  <si>
    <t xml:space="preserve">MATHEMATIQUES </t>
  </si>
  <si>
    <t>PHYSIQUE CHIMIE</t>
  </si>
  <si>
    <t xml:space="preserve">ANGLAIS </t>
  </si>
  <si>
    <t>HISTOIRE-GEOGRAPHIE</t>
  </si>
  <si>
    <t>EPS</t>
  </si>
  <si>
    <t xml:space="preserve">ART-PLASTIQUES </t>
  </si>
  <si>
    <t xml:space="preserve">ARABE </t>
  </si>
  <si>
    <t>N°4003 MENA/DEEP DU 14/10/2024</t>
  </si>
  <si>
    <t>N°F 2266 MENET/DEEP DU 03/11/2015</t>
  </si>
  <si>
    <t>N°F 5023 MENA/DEEP DU 29/09/2022</t>
  </si>
  <si>
    <t>COMMENTAIRES: RAS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</si>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</sst>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0;[Red]0"/>
    <numFmt numFmtId="165" formatCode="0#&quot; &quot;##&quot; &quot;##&quot; &quot;##&quot; &quot;##"/>
  </numFmts>
  <fonts count="72" x14ac:knownFonts="1">
    <font>
      <sz val="11"/>
      <color theme="1"/>
      <name val="Calibri"/>
      <family val="2"/>
      <scheme val="minor"/>
    </font>
    <font>
      <b/>
      <sz val="11"/>
      <color theme="1"/>
      <name val="Calibri"/>
      <family val="2"/>
      <scheme val="minor"/>
    </font>
    <font>
      <b/>
      <sz val="12"/>
      <color theme="1"/>
      <name val="Times New Roman"/>
      <family val="1"/>
    </font>
    <font>
      <sz val="12"/>
      <color theme="1"/>
      <name val="Arial"/>
      <family val="2"/>
    </font>
    <font>
      <sz val="7"/>
      <color theme="1"/>
      <name val="Times New Roman"/>
      <family val="1"/>
    </font>
    <font>
      <sz val="5"/>
      <color theme="1"/>
      <name val="Arial"/>
      <family val="2"/>
    </font>
    <font>
      <b/>
      <sz val="11"/>
      <color theme="1"/>
      <name val="Arial"/>
      <family val="2"/>
    </font>
    <font>
      <b/>
      <sz val="12"/>
      <color theme="1"/>
      <name val="Arial"/>
      <family val="2"/>
    </font>
    <font>
      <sz val="10"/>
      <color theme="1"/>
      <name val="Arial"/>
      <family val="2"/>
    </font>
    <font>
      <b/>
      <sz val="10"/>
      <color theme="1"/>
      <name val="Times New Roman"/>
      <family val="1"/>
    </font>
    <font>
      <b/>
      <sz val="14"/>
      <color theme="1"/>
      <name val="Arial"/>
      <family val="2"/>
    </font>
    <font>
      <b/>
      <sz val="7"/>
      <color theme="1"/>
      <name val="Times New Roman"/>
      <family val="1"/>
    </font>
    <font>
      <sz val="9"/>
      <color theme="1"/>
      <name val="Arial"/>
      <family val="2"/>
    </font>
    <font>
      <b/>
      <sz val="9"/>
      <color theme="1"/>
      <name val="Arial"/>
      <family val="2"/>
    </font>
    <font>
      <b/>
      <sz val="9"/>
      <color theme="1"/>
      <name val="Times New Roman"/>
      <family val="1"/>
    </font>
    <font>
      <b/>
      <u/>
      <sz val="12"/>
      <color theme="1"/>
      <name val="Times New Roman"/>
      <family val="1"/>
    </font>
    <font>
      <b/>
      <sz val="12"/>
      <color theme="1"/>
      <name val="Agency FB"/>
      <family val="2"/>
    </font>
    <font>
      <b/>
      <sz val="11"/>
      <color theme="1"/>
      <name val="Agency FB"/>
      <family val="2"/>
    </font>
    <font>
      <b/>
      <sz val="12"/>
      <color theme="1"/>
      <name val="Calibri"/>
      <family val="2"/>
      <scheme val="minor"/>
    </font>
    <font>
      <sz val="12"/>
      <color theme="1"/>
      <name val="Calibri"/>
      <family val="2"/>
      <scheme val="minor"/>
    </font>
    <font>
      <b/>
      <sz val="12"/>
      <color rgb="FF000000"/>
      <name val="Agency FB"/>
      <family val="2"/>
    </font>
    <font>
      <b/>
      <sz val="10"/>
      <color theme="1"/>
      <name val="Calibri"/>
      <family val="2"/>
      <scheme val="minor"/>
    </font>
    <font>
      <b/>
      <vertAlign val="superscript"/>
      <sz val="10"/>
      <color theme="1"/>
      <name val="Calibri"/>
      <family val="2"/>
      <scheme val="minor"/>
    </font>
    <font>
      <b/>
      <vertAlign val="subscript"/>
      <sz val="10"/>
      <color theme="1"/>
      <name val="Calibri"/>
      <family val="2"/>
      <scheme val="minor"/>
    </font>
    <font>
      <b/>
      <sz val="14"/>
      <color theme="1"/>
      <name val="Times New Roman"/>
      <family val="1"/>
    </font>
    <font>
      <sz val="12"/>
      <color theme="1"/>
      <name val="Times New Roman"/>
      <family val="1"/>
    </font>
    <font>
      <b/>
      <vertAlign val="superscript"/>
      <sz val="12"/>
      <color theme="1"/>
      <name val="Agency FB"/>
      <family val="2"/>
    </font>
    <font>
      <b/>
      <vertAlign val="superscript"/>
      <sz val="11"/>
      <color theme="1"/>
      <name val="Agency FB"/>
      <family val="2"/>
    </font>
    <font>
      <b/>
      <sz val="11"/>
      <color theme="1"/>
      <name val="Times New Roman"/>
      <family val="1"/>
    </font>
    <font>
      <sz val="9"/>
      <color theme="1"/>
      <name val="Times New Roman"/>
      <family val="1"/>
    </font>
    <font>
      <b/>
      <sz val="10"/>
      <color theme="1"/>
      <name val="Arial"/>
      <family val="2"/>
    </font>
    <font>
      <sz val="11"/>
      <color theme="1"/>
      <name val="Times New Roman"/>
      <family val="1"/>
    </font>
    <font>
      <sz val="7.5"/>
      <color theme="1"/>
      <name val="Times New Roman"/>
      <family val="1"/>
    </font>
    <font>
      <sz val="5"/>
      <color theme="1"/>
      <name val="Times New Roman"/>
      <family val="1"/>
    </font>
    <font>
      <b/>
      <sz val="16"/>
      <color theme="1"/>
      <name val="Times New Roman"/>
      <family val="1"/>
    </font>
    <font>
      <sz val="14"/>
      <color theme="1"/>
      <name val="Times New Roman"/>
      <family val="1"/>
    </font>
    <font>
      <sz val="14"/>
      <color rgb="FF000000"/>
      <name val="Calibri"/>
      <family val="2"/>
    </font>
    <font>
      <b/>
      <sz val="12"/>
      <color rgb="FFFF0000"/>
      <name val="Calibri"/>
      <family val="2"/>
    </font>
    <font>
      <b/>
      <sz val="11"/>
      <color rgb="FFFF0000"/>
      <name val="Calibri"/>
      <family val="2"/>
    </font>
    <font>
      <sz val="16"/>
      <color theme="1"/>
      <name val="Calibri"/>
      <family val="2"/>
    </font>
    <font>
      <b/>
      <sz val="16"/>
      <color theme="1"/>
      <name val="Calibri"/>
      <family val="2"/>
    </font>
    <font>
      <sz val="14"/>
      <color theme="1"/>
      <name val="Calibri"/>
      <family val="2"/>
    </font>
    <font>
      <sz val="12"/>
      <color theme="1"/>
      <name val="Calibri"/>
      <family val="2"/>
    </font>
    <font>
      <b/>
      <sz val="14"/>
      <color rgb="FF000000"/>
      <name val="Calibri"/>
      <family val="2"/>
    </font>
    <font>
      <b/>
      <sz val="12"/>
      <color theme="1"/>
      <name val="Calibri"/>
      <family val="2"/>
    </font>
    <font>
      <b/>
      <sz val="14"/>
      <color theme="1"/>
      <name val="Calibri"/>
      <family val="2"/>
    </font>
    <font>
      <b/>
      <sz val="14"/>
      <color rgb="FF000000"/>
      <name val="Agency FB"/>
      <family val="2"/>
    </font>
    <font>
      <sz val="14"/>
      <color rgb="FF000000"/>
      <name val="Agency FB"/>
      <family val="2"/>
    </font>
    <font>
      <b/>
      <sz val="11"/>
      <color theme="1"/>
      <name val="Calibri"/>
      <family val="2"/>
    </font>
    <font>
      <sz val="16"/>
      <color theme="1"/>
      <name val="Calibri"/>
      <family val="2"/>
      <scheme val="minor"/>
    </font>
    <font>
      <b/>
      <sz val="14"/>
      <color theme="1"/>
      <name val="Calibri"/>
      <family val="2"/>
      <scheme val="minor"/>
    </font>
    <font>
      <b/>
      <sz val="11"/>
      <color theme="1"/>
      <name val="Comic Sans MS"/>
      <family val="4"/>
    </font>
    <font>
      <b/>
      <sz val="5"/>
      <color theme="1"/>
      <name val="Arial"/>
      <family val="2"/>
    </font>
    <font>
      <sz val="10"/>
      <name val="Arial"/>
      <family val="2"/>
    </font>
    <font>
      <b/>
      <sz val="11"/>
      <color rgb="FF000000"/>
      <name val="Agency FB"/>
      <family val="2"/>
    </font>
    <font>
      <b/>
      <u/>
      <sz val="11"/>
      <color theme="1"/>
      <name val="Calibri"/>
      <family val="2"/>
      <scheme val="minor"/>
    </font>
    <font>
      <b/>
      <sz val="12"/>
      <color rgb="FF000000"/>
      <name val="Arial"/>
      <family val="2"/>
    </font>
    <font>
      <b/>
      <vertAlign val="superscript"/>
      <sz val="14"/>
      <color theme="1"/>
      <name val="Times New Roman"/>
      <family val="1"/>
    </font>
    <font>
      <b/>
      <sz val="11"/>
      <color rgb="FFFF0000"/>
      <name val="Times New Roman"/>
      <family val="1"/>
    </font>
    <font>
      <b/>
      <sz val="14"/>
      <name val="Times New Roman"/>
      <family val="1"/>
    </font>
    <font>
      <b/>
      <sz val="14"/>
      <color rgb="FFFF0000"/>
      <name val="Times New Roman"/>
      <family val="1"/>
    </font>
    <font>
      <b/>
      <sz val="12"/>
      <name val="Times New Roman"/>
      <family val="1"/>
    </font>
    <font>
      <b/>
      <sz val="12"/>
      <color rgb="FFFF0000"/>
      <name val="Times New Roman"/>
      <family val="1"/>
    </font>
    <font>
      <b/>
      <sz val="14"/>
      <color rgb="FFFF0000"/>
      <name val="Calibri"/>
      <family val="2"/>
    </font>
    <font>
      <b/>
      <sz val="24"/>
      <color theme="1"/>
      <name val="Times New Roman"/>
      <family val="1"/>
    </font>
    <font>
      <sz val="24"/>
      <color theme="1"/>
      <name val="Calibri"/>
      <family val="2"/>
      <scheme val="minor"/>
    </font>
    <font>
      <sz val="11"/>
      <color theme="1"/>
      <name val="Calibri"/>
      <family val="2"/>
      <scheme val="minor"/>
    </font>
    <font>
      <b/>
      <sz val="14"/>
      <color theme="1"/>
      <name val="Palatino Linotype"/>
      <family val="1"/>
    </font>
    <font>
      <sz val="10"/>
      <color theme="1"/>
      <name val="Calibri"/>
      <family val="2"/>
      <scheme val="minor"/>
    </font>
    <font>
      <sz val="10"/>
      <color theme="1"/>
      <name val="Palatino Linotype"/>
      <family val="1"/>
    </font>
    <font>
      <sz val="10"/>
      <color theme="1"/>
      <name val="Calibri"/>
      <family val="2"/>
    </font>
    <font>
      <b/>
      <sz val="22"/>
      <color theme="1"/>
      <name val="Arial"/>
      <family val="2"/>
    </font>
  </fonts>
  <fills count="17">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00"/>
        <bgColor rgb="FF000000"/>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59999389629810485"/>
        <bgColor rgb="FF000000"/>
      </patternFill>
    </fill>
    <fill>
      <patternFill patternType="solid">
        <fgColor theme="0"/>
        <bgColor rgb="FF000000"/>
      </patternFill>
    </fill>
    <fill>
      <patternFill patternType="solid">
        <fgColor rgb="FF00FF00"/>
        <bgColor indexed="64"/>
      </patternFill>
    </fill>
    <fill>
      <patternFill patternType="solid">
        <fgColor rgb="FFFCD5B4"/>
        <bgColor rgb="FF000000"/>
      </patternFill>
    </fill>
    <fill>
      <patternFill patternType="solid">
        <fgColor theme="4"/>
        <bgColor indexed="64"/>
      </patternFill>
    </fill>
    <fill>
      <patternFill patternType="solid">
        <fgColor theme="9" tint="0.39997558519241921"/>
        <bgColor indexed="64"/>
      </patternFill>
    </fill>
  </fills>
  <borders count="78">
    <border>
      <left/>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diagonal/>
    </border>
    <border>
      <left/>
      <right style="medium">
        <color indexed="64"/>
      </right>
      <top style="thin">
        <color indexed="64"/>
      </top>
      <bottom style="medium">
        <color indexed="64"/>
      </bottom>
      <diagonal/>
    </border>
    <border>
      <left/>
      <right/>
      <top/>
      <bottom style="medium">
        <color indexed="64"/>
      </bottom>
      <diagonal/>
    </border>
    <border>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diagonal/>
    </border>
    <border>
      <left/>
      <right style="thin">
        <color indexed="64"/>
      </right>
      <top/>
      <bottom style="medium">
        <color indexed="64"/>
      </bottom>
      <diagonal/>
    </border>
    <border>
      <left/>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41" fontId="66" fillId="0" borderId="0" applyFont="0" applyFill="0" applyBorder="0" applyAlignment="0" applyProtection="0"/>
  </cellStyleXfs>
  <cellXfs count="388">
    <xf numFmtId="0" fontId="0" fillId="0" borderId="0" xfId="0"/>
    <xf numFmtId="0" fontId="9" fillId="0" borderId="8" xfId="0" applyFont="1" applyBorder="1" applyAlignment="1">
      <alignment horizontal="center" vertical="center" wrapText="1"/>
    </xf>
    <xf numFmtId="0" fontId="3" fillId="0" borderId="0" xfId="0" applyFont="1" applyAlignment="1">
      <alignment horizontal="left" vertical="center" indent="5"/>
    </xf>
    <xf numFmtId="0" fontId="5" fillId="0" borderId="0" xfId="0" applyFont="1" applyAlignment="1">
      <alignment vertical="center"/>
    </xf>
    <xf numFmtId="0" fontId="7" fillId="0" borderId="0" xfId="0" applyFont="1" applyAlignment="1">
      <alignment horizontal="left" vertical="center" indent="5"/>
    </xf>
    <xf numFmtId="0" fontId="9" fillId="0" borderId="9"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0" xfId="0" applyFont="1" applyAlignment="1">
      <alignment vertical="center"/>
    </xf>
    <xf numFmtId="0" fontId="3" fillId="0" borderId="0" xfId="0" applyFont="1" applyAlignment="1">
      <alignment vertical="center"/>
    </xf>
    <xf numFmtId="0" fontId="6" fillId="0" borderId="0" xfId="0" applyFont="1" applyAlignment="1">
      <alignment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9" fillId="0" borderId="1" xfId="0" applyFont="1" applyBorder="1" applyAlignment="1">
      <alignment horizontal="center" vertical="center" wrapText="1"/>
    </xf>
    <xf numFmtId="0" fontId="7" fillId="0" borderId="0" xfId="0" applyFont="1" applyAlignment="1">
      <alignment horizontal="left" vertical="center" indent="6"/>
    </xf>
    <xf numFmtId="0" fontId="7" fillId="0" borderId="0" xfId="0" applyFont="1" applyAlignment="1">
      <alignment vertical="center"/>
    </xf>
    <xf numFmtId="0" fontId="14" fillId="0" borderId="3" xfId="0" applyFont="1" applyBorder="1" applyAlignment="1">
      <alignment vertical="center" wrapText="1"/>
    </xf>
    <xf numFmtId="0" fontId="14" fillId="0" borderId="1" xfId="0" applyFont="1" applyBorder="1" applyAlignment="1">
      <alignment vertical="center" wrapText="1"/>
    </xf>
    <xf numFmtId="0" fontId="6" fillId="0" borderId="7"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0" xfId="0" applyFont="1" applyAlignment="1">
      <alignment horizontal="left" vertical="center" indent="1"/>
    </xf>
    <xf numFmtId="0" fontId="2" fillId="0" borderId="0" xfId="0" applyFont="1" applyAlignment="1">
      <alignment horizontal="left" vertical="center" indent="5"/>
    </xf>
    <xf numFmtId="0" fontId="15" fillId="0" borderId="0" xfId="0" applyFont="1" applyAlignment="1">
      <alignment horizontal="left" vertical="center" indent="5"/>
    </xf>
    <xf numFmtId="0" fontId="20" fillId="0" borderId="9" xfId="0" applyFont="1" applyBorder="1" applyAlignment="1">
      <alignment horizontal="center" vertical="center" wrapText="1"/>
    </xf>
    <xf numFmtId="0" fontId="20" fillId="0" borderId="2" xfId="0" applyFont="1" applyBorder="1" applyAlignment="1">
      <alignment horizontal="center" vertical="center" wrapText="1"/>
    </xf>
    <xf numFmtId="0" fontId="19" fillId="0" borderId="0" xfId="0" applyFont="1" applyAlignment="1">
      <alignment horizontal="left" vertical="center" indent="7"/>
    </xf>
    <xf numFmtId="0" fontId="18" fillId="0" borderId="48" xfId="0" applyFont="1" applyBorder="1" applyAlignment="1">
      <alignment horizontal="center" vertical="center" wrapText="1"/>
    </xf>
    <xf numFmtId="0" fontId="18" fillId="0" borderId="49" xfId="0" applyFont="1" applyBorder="1" applyAlignment="1">
      <alignment horizontal="center" vertical="center" wrapText="1"/>
    </xf>
    <xf numFmtId="0" fontId="19" fillId="0" borderId="0" xfId="0" applyFont="1" applyAlignment="1">
      <alignment vertical="center" wrapText="1"/>
    </xf>
    <xf numFmtId="0" fontId="18" fillId="0" borderId="0" xfId="0" applyFont="1" applyAlignment="1">
      <alignment horizontal="left" vertical="center" indent="4"/>
    </xf>
    <xf numFmtId="0" fontId="1" fillId="0" borderId="0" xfId="0" applyFont="1"/>
    <xf numFmtId="0" fontId="25" fillId="0" borderId="0" xfId="0" applyFont="1" applyAlignment="1">
      <alignment horizontal="center" vertical="center" wrapText="1"/>
    </xf>
    <xf numFmtId="0" fontId="25" fillId="0" borderId="57" xfId="0" applyFont="1" applyBorder="1" applyAlignment="1">
      <alignment horizontal="center" vertical="center" wrapText="1"/>
    </xf>
    <xf numFmtId="0" fontId="16" fillId="2" borderId="57" xfId="0" applyFont="1" applyFill="1" applyBorder="1" applyAlignment="1">
      <alignment horizontal="center" vertical="center" wrapText="1"/>
    </xf>
    <xf numFmtId="0" fontId="17" fillId="2" borderId="57" xfId="0" applyFont="1" applyFill="1" applyBorder="1" applyAlignment="1">
      <alignment horizontal="center" vertical="center" wrapText="1"/>
    </xf>
    <xf numFmtId="0" fontId="2" fillId="0" borderId="59" xfId="0" applyFont="1" applyBorder="1" applyAlignment="1">
      <alignment horizontal="center" vertical="center" wrapText="1"/>
    </xf>
    <xf numFmtId="14" fontId="14" fillId="0" borderId="1" xfId="0" applyNumberFormat="1" applyFont="1" applyBorder="1" applyAlignment="1">
      <alignment vertical="center" wrapText="1"/>
    </xf>
    <xf numFmtId="0" fontId="31" fillId="0" borderId="0" xfId="0" applyFont="1"/>
    <xf numFmtId="0" fontId="9" fillId="0" borderId="3"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44" xfId="0" applyFont="1" applyBorder="1" applyAlignment="1">
      <alignment horizontal="center" vertical="center" wrapText="1"/>
    </xf>
    <xf numFmtId="0" fontId="9" fillId="0" borderId="60" xfId="0" applyFont="1" applyBorder="1" applyAlignment="1">
      <alignment horizontal="center" vertical="center" wrapText="1"/>
    </xf>
    <xf numFmtId="0" fontId="9" fillId="0" borderId="56" xfId="0" applyFont="1" applyBorder="1" applyAlignment="1">
      <alignment horizontal="center" vertical="center" wrapText="1"/>
    </xf>
    <xf numFmtId="0" fontId="9" fillId="0" borderId="40" xfId="0" applyFont="1" applyBorder="1" applyAlignment="1">
      <alignment horizontal="center" vertical="center" wrapText="1"/>
    </xf>
    <xf numFmtId="0" fontId="9" fillId="0" borderId="43" xfId="0" applyFont="1" applyBorder="1" applyAlignment="1">
      <alignment horizontal="center" vertical="center" wrapText="1"/>
    </xf>
    <xf numFmtId="0" fontId="9" fillId="0" borderId="53" xfId="0" applyFont="1" applyBorder="1" applyAlignment="1">
      <alignment horizontal="center" vertical="center" wrapText="1"/>
    </xf>
    <xf numFmtId="0" fontId="9" fillId="0" borderId="5" xfId="0" applyFont="1" applyBorder="1" applyAlignment="1">
      <alignment horizontal="center" vertical="center" wrapText="1"/>
    </xf>
    <xf numFmtId="0" fontId="28" fillId="0" borderId="0" xfId="0" applyFont="1" applyAlignment="1">
      <alignment horizontal="left" vertical="center" indent="1"/>
    </xf>
    <xf numFmtId="0" fontId="24" fillId="0" borderId="0" xfId="0" applyFont="1" applyAlignment="1">
      <alignment vertical="center"/>
    </xf>
    <xf numFmtId="0" fontId="25" fillId="0" borderId="0" xfId="0" applyFont="1" applyAlignment="1">
      <alignment vertical="center"/>
    </xf>
    <xf numFmtId="0" fontId="33" fillId="0" borderId="0" xfId="0" applyFont="1" applyAlignment="1">
      <alignment vertical="center"/>
    </xf>
    <xf numFmtId="0" fontId="25" fillId="0" borderId="0" xfId="0" applyFont="1" applyAlignment="1">
      <alignment horizontal="left" vertical="center" indent="5"/>
    </xf>
    <xf numFmtId="0" fontId="28" fillId="0" borderId="0" xfId="0" applyFont="1"/>
    <xf numFmtId="0" fontId="24" fillId="6" borderId="1" xfId="0" applyFont="1" applyFill="1" applyBorder="1" applyAlignment="1">
      <alignment horizontal="center" vertical="center" wrapText="1"/>
    </xf>
    <xf numFmtId="0" fontId="24" fillId="4" borderId="9" xfId="0" applyFont="1" applyFill="1" applyBorder="1" applyAlignment="1">
      <alignment horizontal="center" vertical="center" wrapText="1"/>
    </xf>
    <xf numFmtId="0" fontId="24" fillId="6" borderId="9" xfId="0" applyFont="1" applyFill="1" applyBorder="1" applyAlignment="1">
      <alignment horizontal="center" vertical="center" wrapText="1"/>
    </xf>
    <xf numFmtId="0" fontId="9" fillId="0" borderId="24"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34" xfId="0" applyFont="1" applyBorder="1" applyAlignment="1">
      <alignment horizontal="center" vertical="center" wrapText="1"/>
    </xf>
    <xf numFmtId="0" fontId="9" fillId="0" borderId="27" xfId="0" applyFont="1" applyBorder="1" applyAlignment="1">
      <alignment horizontal="center" vertical="center" wrapText="1"/>
    </xf>
    <xf numFmtId="0" fontId="39" fillId="0" borderId="1" xfId="0" applyFont="1" applyBorder="1" applyAlignment="1" applyProtection="1">
      <alignment horizontal="center" vertical="center" wrapText="1"/>
      <protection locked="0"/>
    </xf>
    <xf numFmtId="0" fontId="24" fillId="6" borderId="2" xfId="0" applyFont="1" applyFill="1" applyBorder="1" applyAlignment="1">
      <alignment horizontal="center" vertical="center" wrapText="1"/>
    </xf>
    <xf numFmtId="0" fontId="12" fillId="0" borderId="16"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59" xfId="0" applyFont="1" applyBorder="1" applyAlignment="1">
      <alignment horizontal="center" vertical="center" wrapText="1"/>
    </xf>
    <xf numFmtId="0" fontId="12" fillId="0" borderId="9" xfId="0" applyFont="1" applyBorder="1" applyAlignment="1">
      <alignment horizontal="center" vertical="center" wrapText="1"/>
    </xf>
    <xf numFmtId="0" fontId="41" fillId="0" borderId="2" xfId="0" applyFont="1" applyBorder="1" applyAlignment="1" applyProtection="1">
      <alignment horizontal="center" vertical="center" wrapText="1"/>
      <protection locked="0"/>
    </xf>
    <xf numFmtId="0" fontId="42" fillId="0" borderId="1" xfId="0" applyFont="1" applyBorder="1" applyAlignment="1" applyProtection="1">
      <alignment horizontal="center" vertical="center" wrapText="1"/>
      <protection locked="0"/>
    </xf>
    <xf numFmtId="0" fontId="41" fillId="0" borderId="1" xfId="0" applyFont="1" applyBorder="1" applyAlignment="1" applyProtection="1">
      <alignment horizontal="center" vertical="center" wrapText="1"/>
      <protection locked="0"/>
    </xf>
    <xf numFmtId="0" fontId="24" fillId="0" borderId="9" xfId="0" applyFont="1" applyBorder="1" applyAlignment="1" applyProtection="1">
      <alignment horizontal="center" vertical="center" wrapText="1"/>
      <protection locked="0"/>
    </xf>
    <xf numFmtId="0" fontId="24" fillId="2" borderId="9" xfId="0" applyFont="1" applyFill="1" applyBorder="1"/>
    <xf numFmtId="0" fontId="24" fillId="6" borderId="59" xfId="0" applyFont="1" applyFill="1" applyBorder="1" applyAlignment="1">
      <alignment horizontal="center" vertical="center" wrapText="1"/>
    </xf>
    <xf numFmtId="0" fontId="24" fillId="0" borderId="0" xfId="0" applyFont="1" applyAlignment="1">
      <alignment horizontal="left" vertical="center" indent="7"/>
    </xf>
    <xf numFmtId="0" fontId="10" fillId="0" borderId="0" xfId="0" applyFont="1" applyAlignment="1">
      <alignment horizontal="center" vertical="center"/>
    </xf>
    <xf numFmtId="0" fontId="45" fillId="7" borderId="9" xfId="0" applyFont="1" applyFill="1" applyBorder="1" applyAlignment="1">
      <alignment horizontal="center" vertical="center"/>
    </xf>
    <xf numFmtId="0" fontId="45" fillId="2" borderId="9" xfId="0" applyFont="1" applyFill="1" applyBorder="1" applyAlignment="1">
      <alignment horizontal="center" vertical="center" wrapText="1"/>
    </xf>
    <xf numFmtId="0" fontId="47" fillId="5" borderId="9" xfId="0" applyFont="1" applyFill="1" applyBorder="1" applyAlignment="1">
      <alignment horizontal="center" vertical="center"/>
    </xf>
    <xf numFmtId="0" fontId="46" fillId="8" borderId="9" xfId="0" applyFont="1" applyFill="1" applyBorder="1" applyAlignment="1">
      <alignment horizontal="center" vertical="center"/>
    </xf>
    <xf numFmtId="0" fontId="45"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vertical="center" wrapText="1"/>
    </xf>
    <xf numFmtId="0" fontId="43" fillId="0" borderId="0" xfId="0" applyFont="1"/>
    <xf numFmtId="0" fontId="36" fillId="0" borderId="0" xfId="0" applyFont="1"/>
    <xf numFmtId="0" fontId="41" fillId="0" borderId="9" xfId="0" applyFont="1" applyBorder="1" applyAlignment="1" applyProtection="1">
      <alignment horizontal="center" vertical="center" wrapText="1"/>
      <protection locked="0"/>
    </xf>
    <xf numFmtId="165" fontId="42" fillId="0" borderId="1" xfId="0" applyNumberFormat="1" applyFont="1" applyBorder="1" applyAlignment="1" applyProtection="1">
      <alignment horizontal="center" vertical="center" wrapText="1"/>
      <protection locked="0"/>
    </xf>
    <xf numFmtId="0" fontId="18" fillId="0" borderId="50" xfId="0" applyFont="1" applyBorder="1" applyAlignment="1">
      <alignment horizontal="center" vertical="center" wrapText="1"/>
    </xf>
    <xf numFmtId="0" fontId="18" fillId="0" borderId="51" xfId="0" applyFont="1" applyBorder="1" applyAlignment="1">
      <alignment horizontal="center" vertical="center" wrapText="1"/>
    </xf>
    <xf numFmtId="0" fontId="20" fillId="0" borderId="0" xfId="0" applyFont="1" applyAlignment="1">
      <alignment horizontal="center" vertical="center" wrapText="1"/>
    </xf>
    <xf numFmtId="0" fontId="34" fillId="3" borderId="1" xfId="0" applyFont="1" applyFill="1" applyBorder="1" applyAlignment="1">
      <alignment horizontal="center" vertical="center" wrapText="1"/>
    </xf>
    <xf numFmtId="0" fontId="18" fillId="0" borderId="20" xfId="0" applyFont="1" applyBorder="1" applyAlignment="1">
      <alignment horizontal="center" vertical="center" wrapText="1"/>
    </xf>
    <xf numFmtId="0" fontId="18" fillId="0" borderId="31" xfId="0" applyFont="1" applyBorder="1" applyAlignment="1">
      <alignment horizontal="center" vertical="center" wrapText="1"/>
    </xf>
    <xf numFmtId="0" fontId="18" fillId="0" borderId="54" xfId="0" applyFont="1" applyBorder="1" applyAlignment="1">
      <alignment horizontal="center" vertical="center" wrapText="1"/>
    </xf>
    <xf numFmtId="0" fontId="18" fillId="3" borderId="8" xfId="0" applyFont="1" applyFill="1" applyBorder="1" applyAlignment="1">
      <alignment horizontal="center" vertical="center" wrapText="1"/>
    </xf>
    <xf numFmtId="0" fontId="18" fillId="0" borderId="56" xfId="0" applyFont="1" applyBorder="1" applyAlignment="1">
      <alignment horizontal="center" vertical="center" wrapText="1"/>
    </xf>
    <xf numFmtId="0" fontId="19" fillId="3" borderId="24" xfId="0" applyFont="1" applyFill="1" applyBorder="1" applyAlignment="1">
      <alignment horizontal="center" vertical="center" wrapText="1"/>
    </xf>
    <xf numFmtId="0" fontId="0" fillId="0" borderId="24" xfId="0" applyBorder="1"/>
    <xf numFmtId="0" fontId="18" fillId="3" borderId="4" xfId="0" applyFont="1" applyFill="1" applyBorder="1" applyAlignment="1">
      <alignment horizontal="center" vertical="center" wrapText="1"/>
    </xf>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9" fillId="3" borderId="29" xfId="0" applyFont="1" applyFill="1" applyBorder="1" applyAlignment="1">
      <alignment horizontal="center" vertical="center" wrapText="1"/>
    </xf>
    <xf numFmtId="0" fontId="18" fillId="4" borderId="12" xfId="0" applyFont="1" applyFill="1" applyBorder="1" applyAlignment="1">
      <alignment horizontal="center" vertical="center" wrapText="1"/>
    </xf>
    <xf numFmtId="0" fontId="18" fillId="3" borderId="11" xfId="0" applyFont="1" applyFill="1" applyBorder="1" applyAlignment="1">
      <alignment horizontal="center" vertical="center" wrapText="1"/>
    </xf>
    <xf numFmtId="0" fontId="18" fillId="3" borderId="12" xfId="0" applyFont="1" applyFill="1" applyBorder="1" applyAlignment="1">
      <alignment horizontal="center" vertical="center" wrapText="1"/>
    </xf>
    <xf numFmtId="0" fontId="19" fillId="3" borderId="44" xfId="0" applyFont="1" applyFill="1" applyBorder="1" applyAlignment="1">
      <alignment horizontal="center" vertical="center" wrapText="1"/>
    </xf>
    <xf numFmtId="0" fontId="19" fillId="3" borderId="45" xfId="0" applyFont="1" applyFill="1" applyBorder="1" applyAlignment="1">
      <alignment horizontal="center" vertical="center" wrapText="1"/>
    </xf>
    <xf numFmtId="0" fontId="18" fillId="3" borderId="46" xfId="0" applyFont="1" applyFill="1" applyBorder="1" applyAlignment="1">
      <alignment horizontal="center" vertical="center" wrapText="1"/>
    </xf>
    <xf numFmtId="0" fontId="18" fillId="4" borderId="46" xfId="0" applyFont="1" applyFill="1" applyBorder="1" applyAlignment="1">
      <alignment horizontal="center" vertical="center" wrapText="1"/>
    </xf>
    <xf numFmtId="0" fontId="18" fillId="3" borderId="55" xfId="0" applyFont="1" applyFill="1" applyBorder="1" applyAlignment="1">
      <alignment horizontal="center" vertical="center" wrapText="1"/>
    </xf>
    <xf numFmtId="0" fontId="18" fillId="4" borderId="55" xfId="0" applyFont="1" applyFill="1" applyBorder="1" applyAlignment="1">
      <alignment horizontal="center" vertical="center" wrapText="1"/>
    </xf>
    <xf numFmtId="0" fontId="18" fillId="4" borderId="11" xfId="0" applyFont="1" applyFill="1" applyBorder="1" applyAlignment="1">
      <alignment horizontal="center" vertical="center" wrapText="1"/>
    </xf>
    <xf numFmtId="2" fontId="19" fillId="3" borderId="35" xfId="0" applyNumberFormat="1" applyFont="1" applyFill="1" applyBorder="1" applyAlignment="1">
      <alignment horizontal="center" vertical="center" wrapText="1"/>
    </xf>
    <xf numFmtId="2" fontId="19" fillId="3" borderId="33" xfId="0" applyNumberFormat="1" applyFont="1" applyFill="1" applyBorder="1" applyAlignment="1">
      <alignment horizontal="center" vertical="center" wrapText="1"/>
    </xf>
    <xf numFmtId="2" fontId="18" fillId="3" borderId="46" xfId="0" applyNumberFormat="1" applyFont="1" applyFill="1" applyBorder="1" applyAlignment="1">
      <alignment horizontal="center" vertical="center" wrapText="1"/>
    </xf>
    <xf numFmtId="2" fontId="18" fillId="4" borderId="46" xfId="0" applyNumberFormat="1" applyFont="1" applyFill="1" applyBorder="1" applyAlignment="1">
      <alignment horizontal="center" vertical="center" wrapText="1"/>
    </xf>
    <xf numFmtId="2" fontId="19" fillId="3" borderId="60" xfId="0" applyNumberFormat="1" applyFont="1" applyFill="1" applyBorder="1" applyAlignment="1">
      <alignment horizontal="center" vertical="center" wrapText="1"/>
    </xf>
    <xf numFmtId="0" fontId="19" fillId="0" borderId="17" xfId="0" applyFont="1" applyBorder="1" applyAlignment="1">
      <alignment horizontal="center" vertical="center" wrapText="1"/>
    </xf>
    <xf numFmtId="0" fontId="19" fillId="3" borderId="19" xfId="0" applyFont="1" applyFill="1" applyBorder="1" applyAlignment="1">
      <alignment horizontal="center" vertical="center" wrapText="1"/>
    </xf>
    <xf numFmtId="0" fontId="19" fillId="3" borderId="43" xfId="0" applyFont="1" applyFill="1" applyBorder="1" applyAlignment="1">
      <alignment horizontal="center" vertical="center" wrapText="1"/>
    </xf>
    <xf numFmtId="0" fontId="19" fillId="0" borderId="63" xfId="0" applyFont="1" applyBorder="1" applyAlignment="1">
      <alignment horizontal="center" vertical="center" wrapText="1"/>
    </xf>
    <xf numFmtId="0" fontId="19" fillId="3" borderId="18" xfId="0" applyFont="1" applyFill="1" applyBorder="1" applyAlignment="1">
      <alignment horizontal="center" vertical="center" wrapText="1"/>
    </xf>
    <xf numFmtId="2" fontId="19" fillId="3" borderId="64" xfId="0" applyNumberFormat="1" applyFont="1" applyFill="1" applyBorder="1" applyAlignment="1">
      <alignment horizontal="center" vertical="center" wrapText="1"/>
    </xf>
    <xf numFmtId="0" fontId="19" fillId="3" borderId="13"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3" borderId="12" xfId="0"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18" fillId="2" borderId="41" xfId="0" applyFont="1" applyFill="1" applyBorder="1" applyAlignment="1">
      <alignment horizontal="center" vertical="center" wrapText="1"/>
    </xf>
    <xf numFmtId="0" fontId="18" fillId="2" borderId="62" xfId="0" applyFont="1" applyFill="1" applyBorder="1" applyAlignment="1">
      <alignment horizontal="center" vertical="center" wrapText="1"/>
    </xf>
    <xf numFmtId="0" fontId="18" fillId="2" borderId="66" xfId="0" applyFont="1" applyFill="1" applyBorder="1" applyAlignment="1">
      <alignment horizontal="center" vertical="center" wrapText="1"/>
    </xf>
    <xf numFmtId="0" fontId="22" fillId="2" borderId="47" xfId="0" applyFont="1" applyFill="1" applyBorder="1" applyAlignment="1">
      <alignment horizontal="center" vertical="center" wrapText="1"/>
    </xf>
    <xf numFmtId="0" fontId="22" fillId="2" borderId="42"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9" fillId="3" borderId="16" xfId="0" applyFont="1" applyFill="1" applyBorder="1" applyAlignment="1">
      <alignment horizontal="center" vertical="center" wrapText="1"/>
    </xf>
    <xf numFmtId="0" fontId="19" fillId="3" borderId="32" xfId="0" applyFont="1" applyFill="1" applyBorder="1" applyAlignment="1">
      <alignment horizontal="center" vertical="center" wrapText="1"/>
    </xf>
    <xf numFmtId="0" fontId="19" fillId="3" borderId="26"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40" xfId="0" applyFont="1" applyFill="1" applyBorder="1" applyAlignment="1">
      <alignment horizontal="center" vertical="center" wrapText="1"/>
    </xf>
    <xf numFmtId="0" fontId="18" fillId="3" borderId="9" xfId="0" applyFont="1" applyFill="1" applyBorder="1" applyAlignment="1">
      <alignment horizontal="center" vertical="center" wrapText="1"/>
    </xf>
    <xf numFmtId="2" fontId="19" fillId="3" borderId="53" xfId="0" applyNumberFormat="1" applyFont="1" applyFill="1" applyBorder="1" applyAlignment="1">
      <alignment horizontal="center" vertical="center" wrapText="1"/>
    </xf>
    <xf numFmtId="2" fontId="19" fillId="3" borderId="65" xfId="0" applyNumberFormat="1" applyFont="1" applyFill="1" applyBorder="1" applyAlignment="1">
      <alignment horizontal="center" vertical="center" wrapText="1"/>
    </xf>
    <xf numFmtId="2" fontId="19" fillId="3" borderId="2" xfId="0" applyNumberFormat="1" applyFont="1" applyFill="1" applyBorder="1" applyAlignment="1">
      <alignment horizontal="center" vertical="center" wrapText="1"/>
    </xf>
    <xf numFmtId="2" fontId="18" fillId="3" borderId="2" xfId="0" applyNumberFormat="1" applyFont="1" applyFill="1" applyBorder="1" applyAlignment="1">
      <alignment horizontal="center" vertical="center" wrapText="1"/>
    </xf>
    <xf numFmtId="0" fontId="0" fillId="10" borderId="0" xfId="0" applyFill="1"/>
    <xf numFmtId="0" fontId="18" fillId="4" borderId="9" xfId="0" applyFont="1" applyFill="1" applyBorder="1" applyAlignment="1">
      <alignment horizontal="center" vertical="center" wrapText="1"/>
    </xf>
    <xf numFmtId="2" fontId="18" fillId="4" borderId="2" xfId="0" applyNumberFormat="1" applyFont="1" applyFill="1" applyBorder="1" applyAlignment="1">
      <alignment horizontal="center" vertical="center" wrapText="1"/>
    </xf>
    <xf numFmtId="0" fontId="34" fillId="9" borderId="3" xfId="0" applyFont="1" applyFill="1" applyBorder="1" applyAlignment="1">
      <alignment horizontal="center" vertical="center" wrapText="1"/>
    </xf>
    <xf numFmtId="0" fontId="24" fillId="9" borderId="1" xfId="0" applyFont="1" applyFill="1" applyBorder="1" applyAlignment="1">
      <alignment horizontal="center" vertical="center" wrapText="1"/>
    </xf>
    <xf numFmtId="0" fontId="34" fillId="9" borderId="1" xfId="0" applyFont="1" applyFill="1" applyBorder="1" applyAlignment="1">
      <alignment horizontal="center" vertical="center" wrapText="1"/>
    </xf>
    <xf numFmtId="0" fontId="40" fillId="9"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40" fillId="9" borderId="59" xfId="0" applyFont="1" applyFill="1" applyBorder="1" applyAlignment="1">
      <alignment horizontal="center" vertical="center" wrapText="1"/>
    </xf>
    <xf numFmtId="0" fontId="43" fillId="11" borderId="9" xfId="0" applyFont="1" applyFill="1" applyBorder="1" applyAlignment="1">
      <alignment horizontal="left" vertical="center" wrapText="1"/>
    </xf>
    <xf numFmtId="0" fontId="24" fillId="9" borderId="59" xfId="0" applyFont="1" applyFill="1" applyBorder="1" applyAlignment="1">
      <alignment horizontal="center" vertical="center" wrapText="1"/>
    </xf>
    <xf numFmtId="0" fontId="45" fillId="9" borderId="1" xfId="0" applyFont="1" applyFill="1" applyBorder="1" applyAlignment="1">
      <alignment horizontal="center" vertical="center" wrapText="1"/>
    </xf>
    <xf numFmtId="0" fontId="43" fillId="11" borderId="9" xfId="0" applyFont="1" applyFill="1" applyBorder="1" applyAlignment="1">
      <alignment horizontal="center" vertical="center" wrapText="1"/>
    </xf>
    <xf numFmtId="0" fontId="43" fillId="0" borderId="16" xfId="0" applyFont="1" applyBorder="1" applyAlignment="1">
      <alignment horizontal="center" vertical="center" wrapText="1"/>
    </xf>
    <xf numFmtId="0" fontId="43" fillId="0" borderId="16" xfId="0" applyFont="1" applyBorder="1" applyAlignment="1">
      <alignment horizontal="left" vertical="center" wrapText="1"/>
    </xf>
    <xf numFmtId="0" fontId="50" fillId="0" borderId="0" xfId="0" applyFont="1"/>
    <xf numFmtId="0" fontId="51" fillId="0" borderId="0" xfId="0" applyFont="1" applyAlignment="1">
      <alignment vertical="center"/>
    </xf>
    <xf numFmtId="0" fontId="1" fillId="4" borderId="8" xfId="0" applyFont="1" applyFill="1" applyBorder="1" applyAlignment="1">
      <alignment horizontal="center" vertical="center" wrapText="1"/>
    </xf>
    <xf numFmtId="0" fontId="6" fillId="0" borderId="0" xfId="0" applyFont="1" applyAlignment="1">
      <alignment horizontal="center" vertical="center" wrapText="1"/>
    </xf>
    <xf numFmtId="0" fontId="53" fillId="0" borderId="0" xfId="0" applyFont="1"/>
    <xf numFmtId="14" fontId="9" fillId="0" borderId="40" xfId="0" applyNumberFormat="1" applyFont="1" applyBorder="1" applyAlignment="1">
      <alignment horizontal="center" vertical="center" wrapText="1"/>
    </xf>
    <xf numFmtId="14" fontId="9" fillId="0" borderId="32" xfId="0" applyNumberFormat="1" applyFont="1" applyBorder="1" applyAlignment="1">
      <alignment horizontal="center" vertical="center" wrapText="1"/>
    </xf>
    <xf numFmtId="0" fontId="12" fillId="0" borderId="7" xfId="0" applyFont="1" applyBorder="1" applyAlignment="1">
      <alignment horizontal="center" vertical="center" wrapText="1"/>
    </xf>
    <xf numFmtId="0" fontId="12" fillId="0" borderId="1" xfId="0" applyFont="1" applyBorder="1" applyAlignment="1">
      <alignment horizontal="center" vertical="center" wrapText="1"/>
    </xf>
    <xf numFmtId="0" fontId="28" fillId="9" borderId="3" xfId="0" applyFont="1" applyFill="1" applyBorder="1" applyAlignment="1">
      <alignment vertical="center" wrapText="1"/>
    </xf>
    <xf numFmtId="0" fontId="54" fillId="0" borderId="2" xfId="0" applyFont="1" applyBorder="1" applyAlignment="1">
      <alignment horizontal="center" vertical="center" wrapText="1"/>
    </xf>
    <xf numFmtId="0" fontId="48" fillId="10" borderId="0" xfId="0" applyFont="1" applyFill="1" applyAlignment="1">
      <alignment horizontal="center" vertical="center" wrapText="1"/>
    </xf>
    <xf numFmtId="0" fontId="45" fillId="12" borderId="0" xfId="0" applyFont="1" applyFill="1" applyAlignment="1">
      <alignment horizontal="center" vertical="center"/>
    </xf>
    <xf numFmtId="0" fontId="20" fillId="10" borderId="0" xfId="0" applyFont="1" applyFill="1" applyAlignment="1">
      <alignment horizontal="center" vertical="center" wrapText="1"/>
    </xf>
    <xf numFmtId="0" fontId="55" fillId="0" borderId="0" xfId="0" applyFont="1"/>
    <xf numFmtId="0" fontId="9"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12" fillId="0" borderId="67"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1" xfId="0" applyFont="1" applyBorder="1" applyAlignment="1">
      <alignment vertical="center" wrapText="1"/>
    </xf>
    <xf numFmtId="0" fontId="8" fillId="0" borderId="1" xfId="0" applyFont="1" applyBorder="1" applyAlignment="1">
      <alignment vertical="center" wrapText="1"/>
    </xf>
    <xf numFmtId="0" fontId="0" fillId="0" borderId="9" xfId="0" applyBorder="1"/>
    <xf numFmtId="0" fontId="28" fillId="0" borderId="0" xfId="0" applyFont="1" applyAlignment="1">
      <alignment vertical="center"/>
    </xf>
    <xf numFmtId="0" fontId="18" fillId="2" borderId="4" xfId="0" applyFont="1" applyFill="1" applyBorder="1" applyAlignment="1">
      <alignment horizontal="left" vertical="center" wrapText="1"/>
    </xf>
    <xf numFmtId="0" fontId="43" fillId="0" borderId="9" xfId="0" applyFont="1" applyBorder="1" applyAlignment="1">
      <alignment horizontal="left" vertical="center" wrapText="1"/>
    </xf>
    <xf numFmtId="0" fontId="43" fillId="0" borderId="9" xfId="0" applyFont="1" applyBorder="1" applyAlignment="1">
      <alignment horizontal="center" vertical="center" wrapText="1"/>
    </xf>
    <xf numFmtId="0" fontId="9" fillId="2" borderId="3" xfId="0" applyFont="1" applyFill="1" applyBorder="1" applyAlignment="1">
      <alignment horizontal="center" vertical="center" wrapText="1"/>
    </xf>
    <xf numFmtId="0" fontId="28" fillId="2" borderId="3" xfId="0" applyFont="1" applyFill="1" applyBorder="1" applyAlignment="1">
      <alignment horizontal="center" vertical="center" wrapText="1"/>
    </xf>
    <xf numFmtId="0" fontId="0" fillId="0" borderId="6" xfId="0" applyBorder="1"/>
    <xf numFmtId="0" fontId="7" fillId="0" borderId="9" xfId="0" applyFont="1" applyBorder="1" applyAlignment="1">
      <alignment horizontal="center" vertical="center" wrapText="1"/>
    </xf>
    <xf numFmtId="0" fontId="56" fillId="0" borderId="16" xfId="0" applyFont="1" applyBorder="1" applyAlignment="1">
      <alignment horizontal="center" vertical="center" wrapText="1"/>
    </xf>
    <xf numFmtId="0" fontId="59" fillId="2" borderId="20" xfId="0" applyFont="1" applyFill="1" applyBorder="1" applyAlignment="1">
      <alignment horizontal="center" vertical="center" wrapText="1"/>
    </xf>
    <xf numFmtId="0" fontId="35" fillId="0" borderId="30" xfId="0" applyFont="1" applyBorder="1" applyAlignment="1" applyProtection="1">
      <alignment horizontal="center" vertical="center" wrapText="1"/>
      <protection locked="0"/>
    </xf>
    <xf numFmtId="0" fontId="35" fillId="0" borderId="21" xfId="0" applyFont="1" applyBorder="1" applyAlignment="1" applyProtection="1">
      <alignment horizontal="center" vertical="center" wrapText="1"/>
      <protection locked="0"/>
    </xf>
    <xf numFmtId="0" fontId="59" fillId="2" borderId="31" xfId="0" applyFont="1" applyFill="1" applyBorder="1" applyAlignment="1">
      <alignment horizontal="center" vertical="center" wrapText="1"/>
    </xf>
    <xf numFmtId="0" fontId="35" fillId="0" borderId="70" xfId="0" applyFont="1" applyBorder="1" applyAlignment="1" applyProtection="1">
      <alignment horizontal="center" vertical="center" wrapText="1"/>
      <protection locked="0"/>
    </xf>
    <xf numFmtId="0" fontId="35" fillId="0" borderId="33" xfId="0" applyFont="1" applyBorder="1" applyAlignment="1" applyProtection="1">
      <alignment horizontal="center" vertical="center" wrapText="1"/>
      <protection locked="0"/>
    </xf>
    <xf numFmtId="0" fontId="59" fillId="2" borderId="71" xfId="0" applyFont="1" applyFill="1" applyBorder="1" applyAlignment="1">
      <alignment horizontal="center" vertical="center" wrapText="1"/>
    </xf>
    <xf numFmtId="0" fontId="35" fillId="4" borderId="11" xfId="0" applyFont="1" applyFill="1" applyBorder="1" applyAlignment="1">
      <alignment horizontal="center" vertical="center" wrapText="1"/>
    </xf>
    <xf numFmtId="0" fontId="25" fillId="4" borderId="11" xfId="0" applyFont="1" applyFill="1" applyBorder="1" applyAlignment="1">
      <alignment horizontal="center" vertical="center" wrapText="1"/>
    </xf>
    <xf numFmtId="0" fontId="25" fillId="4" borderId="15" xfId="0" applyFont="1" applyFill="1" applyBorder="1" applyAlignment="1">
      <alignment horizontal="center" vertical="center" wrapText="1"/>
    </xf>
    <xf numFmtId="0" fontId="25" fillId="4" borderId="28" xfId="0" applyFont="1" applyFill="1" applyBorder="1" applyAlignment="1">
      <alignment horizontal="center" vertical="center" wrapText="1"/>
    </xf>
    <xf numFmtId="0" fontId="60" fillId="2" borderId="20" xfId="0" applyFont="1" applyFill="1" applyBorder="1" applyAlignment="1">
      <alignment horizontal="center" vertical="center" wrapText="1"/>
    </xf>
    <xf numFmtId="0" fontId="60" fillId="2" borderId="31" xfId="0" applyFont="1" applyFill="1" applyBorder="1" applyAlignment="1">
      <alignment horizontal="center" vertical="center" wrapText="1"/>
    </xf>
    <xf numFmtId="0" fontId="60" fillId="2" borderId="71" xfId="0" applyFont="1" applyFill="1" applyBorder="1" applyAlignment="1">
      <alignment horizontal="center" vertical="center" wrapText="1"/>
    </xf>
    <xf numFmtId="0" fontId="25" fillId="4" borderId="9" xfId="0" applyFont="1" applyFill="1" applyBorder="1" applyAlignment="1">
      <alignment horizontal="center" vertical="center" wrapText="1"/>
    </xf>
    <xf numFmtId="0" fontId="35" fillId="4" borderId="9" xfId="0" applyFont="1" applyFill="1" applyBorder="1" applyAlignment="1">
      <alignment horizontal="center" vertical="center" wrapText="1"/>
    </xf>
    <xf numFmtId="0" fontId="59" fillId="2" borderId="16" xfId="0" applyFont="1" applyFill="1" applyBorder="1" applyAlignment="1">
      <alignment horizontal="center" vertical="center" wrapText="1"/>
    </xf>
    <xf numFmtId="0" fontId="60" fillId="4" borderId="14" xfId="0" applyFont="1" applyFill="1" applyBorder="1" applyAlignment="1">
      <alignment horizontal="center" vertical="center" wrapText="1"/>
    </xf>
    <xf numFmtId="0" fontId="24" fillId="4" borderId="16" xfId="0" applyFont="1" applyFill="1" applyBorder="1" applyAlignment="1">
      <alignment horizontal="center" vertical="center" wrapText="1"/>
    </xf>
    <xf numFmtId="0" fontId="59" fillId="2" borderId="32" xfId="0" applyFont="1" applyFill="1" applyBorder="1" applyAlignment="1">
      <alignment horizontal="center" vertical="center" wrapText="1"/>
    </xf>
    <xf numFmtId="0" fontId="60" fillId="4" borderId="23"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60" fillId="4" borderId="39" xfId="0" applyFont="1" applyFill="1" applyBorder="1" applyAlignment="1">
      <alignment horizontal="center" vertical="center" wrapText="1"/>
    </xf>
    <xf numFmtId="0" fontId="60" fillId="2" borderId="52" xfId="0" applyFont="1" applyFill="1" applyBorder="1" applyAlignment="1">
      <alignment horizontal="center" vertical="center" wrapText="1"/>
    </xf>
    <xf numFmtId="3" fontId="24" fillId="4" borderId="30" xfId="0" applyNumberFormat="1" applyFont="1" applyFill="1" applyBorder="1" applyAlignment="1">
      <alignment horizontal="center" vertical="center" wrapText="1"/>
    </xf>
    <xf numFmtId="3" fontId="24" fillId="4" borderId="16" xfId="0" applyNumberFormat="1" applyFont="1" applyFill="1" applyBorder="1" applyAlignment="1">
      <alignment horizontal="center" vertical="center" wrapText="1"/>
    </xf>
    <xf numFmtId="0" fontId="60" fillId="2" borderId="44" xfId="0" applyFont="1" applyFill="1" applyBorder="1" applyAlignment="1">
      <alignment horizontal="center" vertical="center" wrapText="1"/>
    </xf>
    <xf numFmtId="0" fontId="60" fillId="2" borderId="72" xfId="0" applyFont="1" applyFill="1" applyBorder="1" applyAlignment="1">
      <alignment horizontal="center" vertical="center" wrapText="1"/>
    </xf>
    <xf numFmtId="0" fontId="38" fillId="5" borderId="8" xfId="0" applyFont="1" applyFill="1" applyBorder="1" applyAlignment="1">
      <alignment horizontal="center" vertical="center"/>
    </xf>
    <xf numFmtId="0" fontId="63" fillId="13" borderId="9" xfId="0" applyFont="1" applyFill="1" applyBorder="1" applyAlignment="1">
      <alignment horizontal="center" vertical="center"/>
    </xf>
    <xf numFmtId="0" fontId="63" fillId="5" borderId="9" xfId="0" applyFont="1" applyFill="1" applyBorder="1" applyAlignment="1">
      <alignment horizontal="center" vertical="center" wrapText="1"/>
    </xf>
    <xf numFmtId="0" fontId="36" fillId="14" borderId="0" xfId="0" applyFont="1" applyFill="1"/>
    <xf numFmtId="0" fontId="18" fillId="0" borderId="69" xfId="0" applyFont="1" applyBorder="1" applyAlignment="1">
      <alignment horizontal="center" vertical="center" wrapText="1"/>
    </xf>
    <xf numFmtId="0" fontId="18" fillId="2" borderId="9" xfId="0" applyFont="1" applyFill="1" applyBorder="1" applyAlignment="1">
      <alignment horizontal="left" vertical="center" wrapText="1"/>
    </xf>
    <xf numFmtId="0" fontId="35" fillId="4" borderId="73" xfId="0" applyFont="1" applyFill="1" applyBorder="1" applyAlignment="1">
      <alignment horizontal="center" vertical="center" wrapText="1"/>
    </xf>
    <xf numFmtId="0" fontId="25" fillId="4" borderId="61" xfId="0" applyFont="1" applyFill="1" applyBorder="1" applyAlignment="1">
      <alignment horizontal="center" vertical="center" wrapText="1"/>
    </xf>
    <xf numFmtId="0" fontId="35" fillId="0" borderId="73" xfId="0" applyFont="1" applyBorder="1" applyAlignment="1">
      <alignment horizontal="center" vertical="center" wrapText="1"/>
    </xf>
    <xf numFmtId="0" fontId="25" fillId="0" borderId="15" xfId="0" applyFont="1" applyBorder="1" applyAlignment="1">
      <alignment horizontal="center" vertical="center" wrapText="1"/>
    </xf>
    <xf numFmtId="0" fontId="25" fillId="0" borderId="28" xfId="0" applyFont="1" applyBorder="1" applyAlignment="1">
      <alignment horizontal="center" vertical="center" wrapText="1"/>
    </xf>
    <xf numFmtId="0" fontId="28" fillId="0" borderId="24" xfId="0" applyFont="1" applyBorder="1" applyAlignment="1">
      <alignment vertical="center"/>
    </xf>
    <xf numFmtId="0" fontId="28" fillId="0" borderId="24" xfId="0" applyFont="1" applyBorder="1" applyAlignment="1">
      <alignment vertical="center" wrapText="1"/>
    </xf>
    <xf numFmtId="0" fontId="28" fillId="0" borderId="24" xfId="0" applyFont="1" applyBorder="1" applyAlignment="1">
      <alignment horizontal="center" vertical="center"/>
    </xf>
    <xf numFmtId="0" fontId="28" fillId="5" borderId="24" xfId="0" applyFont="1" applyFill="1" applyBorder="1" applyAlignment="1">
      <alignment vertical="center"/>
    </xf>
    <xf numFmtId="0" fontId="28" fillId="5" borderId="24" xfId="0" applyFont="1" applyFill="1" applyBorder="1" applyAlignment="1">
      <alignment horizontal="center" vertical="center"/>
    </xf>
    <xf numFmtId="0" fontId="28" fillId="15" borderId="24" xfId="0" applyFont="1" applyFill="1" applyBorder="1" applyAlignment="1">
      <alignment vertical="center"/>
    </xf>
    <xf numFmtId="0" fontId="28" fillId="15" borderId="24" xfId="0" applyFont="1" applyFill="1" applyBorder="1" applyAlignment="1">
      <alignment horizontal="center" vertical="center"/>
    </xf>
    <xf numFmtId="0" fontId="28" fillId="0" borderId="24" xfId="0" applyFont="1" applyBorder="1" applyAlignment="1">
      <alignment horizontal="center" vertical="center" wrapText="1"/>
    </xf>
    <xf numFmtId="0" fontId="25" fillId="0" borderId="24" xfId="0" applyFont="1" applyBorder="1" applyAlignment="1">
      <alignment horizontal="center" vertical="center" wrapText="1"/>
    </xf>
    <xf numFmtId="0" fontId="2" fillId="3" borderId="24" xfId="0" applyFont="1" applyFill="1" applyBorder="1" applyAlignment="1">
      <alignment horizontal="center" vertical="center" wrapText="1"/>
    </xf>
    <xf numFmtId="3" fontId="25" fillId="0" borderId="24" xfId="0" applyNumberFormat="1" applyFont="1" applyBorder="1" applyAlignment="1">
      <alignment horizontal="center" vertical="center" wrapText="1"/>
    </xf>
    <xf numFmtId="3" fontId="2" fillId="3" borderId="24" xfId="0" applyNumberFormat="1" applyFont="1" applyFill="1" applyBorder="1" applyAlignment="1">
      <alignment horizontal="center" vertical="center" wrapText="1"/>
    </xf>
    <xf numFmtId="164" fontId="25" fillId="3" borderId="24" xfId="0" applyNumberFormat="1" applyFont="1" applyFill="1" applyBorder="1" applyAlignment="1">
      <alignment horizontal="center" vertical="center" wrapText="1"/>
    </xf>
    <xf numFmtId="0" fontId="9" fillId="0" borderId="24" xfId="0" applyFont="1" applyBorder="1" applyAlignment="1">
      <alignment horizontal="center" wrapText="1"/>
    </xf>
    <xf numFmtId="0" fontId="1" fillId="0" borderId="24" xfId="0" applyFont="1" applyBorder="1" applyAlignment="1">
      <alignment horizontal="center"/>
    </xf>
    <xf numFmtId="0" fontId="18" fillId="8" borderId="74" xfId="0" applyFont="1" applyFill="1" applyBorder="1" applyAlignment="1">
      <alignment horizontal="left" vertical="center" wrapText="1"/>
    </xf>
    <xf numFmtId="0" fontId="21" fillId="0" borderId="24" xfId="0" applyFont="1" applyBorder="1" applyAlignment="1">
      <alignment horizontal="center" wrapText="1"/>
    </xf>
    <xf numFmtId="0" fontId="18" fillId="8" borderId="75" xfId="0" applyFont="1" applyFill="1" applyBorder="1" applyAlignment="1">
      <alignment horizontal="left" vertical="center" wrapText="1"/>
    </xf>
    <xf numFmtId="0" fontId="45" fillId="2" borderId="1" xfId="0" applyFont="1" applyFill="1" applyBorder="1" applyAlignment="1">
      <alignment horizontal="center" vertical="center" wrapText="1"/>
    </xf>
    <xf numFmtId="0" fontId="45" fillId="2" borderId="7" xfId="0" applyFont="1" applyFill="1" applyBorder="1" applyAlignment="1">
      <alignment horizontal="center" vertical="center" wrapText="1"/>
    </xf>
    <xf numFmtId="0" fontId="45" fillId="2" borderId="24" xfId="0" applyFont="1" applyFill="1" applyBorder="1" applyAlignment="1">
      <alignment horizontal="center" vertical="center" wrapText="1"/>
    </xf>
    <xf numFmtId="14" fontId="9" fillId="0" borderId="43" xfId="0" applyNumberFormat="1" applyFont="1" applyBorder="1" applyAlignment="1">
      <alignment horizontal="center" vertical="center" wrapText="1"/>
    </xf>
    <xf numFmtId="14" fontId="9" fillId="0" borderId="44" xfId="0" applyNumberFormat="1" applyFont="1" applyBorder="1" applyAlignment="1">
      <alignment horizontal="center" vertical="center" wrapText="1"/>
    </xf>
    <xf numFmtId="0" fontId="0" fillId="0" borderId="0" xfId="0" applyAlignment="1">
      <alignment horizontal="center"/>
    </xf>
    <xf numFmtId="0" fontId="29" fillId="0" borderId="18" xfId="0" applyFont="1" applyBorder="1" applyAlignment="1">
      <alignment horizontal="center" vertical="center" wrapText="1"/>
    </xf>
    <xf numFmtId="0" fontId="29" fillId="0" borderId="24" xfId="0" applyFont="1" applyBorder="1" applyAlignment="1">
      <alignment horizontal="center" vertical="center" wrapText="1"/>
    </xf>
    <xf numFmtId="0" fontId="29" fillId="0" borderId="28" xfId="0" applyFont="1" applyBorder="1" applyAlignment="1">
      <alignment horizontal="center" vertical="center" wrapText="1"/>
    </xf>
    <xf numFmtId="0" fontId="32" fillId="0" borderId="18" xfId="0" applyFont="1" applyBorder="1" applyAlignment="1">
      <alignment horizontal="center" vertical="center" wrapText="1"/>
    </xf>
    <xf numFmtId="0" fontId="32" fillId="0" borderId="24" xfId="0" applyFont="1" applyBorder="1" applyAlignment="1">
      <alignment horizontal="center" vertical="center" wrapText="1"/>
    </xf>
    <xf numFmtId="0" fontId="32" fillId="0" borderId="28" xfId="0" applyFont="1" applyBorder="1" applyAlignment="1">
      <alignment horizontal="center" vertical="center" wrapText="1"/>
    </xf>
    <xf numFmtId="14" fontId="29" fillId="0" borderId="18" xfId="0" applyNumberFormat="1" applyFont="1" applyBorder="1" applyAlignment="1">
      <alignment horizontal="center" vertical="center" wrapText="1"/>
    </xf>
    <xf numFmtId="14" fontId="29" fillId="0" borderId="24" xfId="0" applyNumberFormat="1" applyFont="1" applyBorder="1" applyAlignment="1">
      <alignment horizontal="center" vertical="center" wrapText="1"/>
    </xf>
    <xf numFmtId="14" fontId="29" fillId="0" borderId="28" xfId="0" applyNumberFormat="1" applyFont="1" applyBorder="1" applyAlignment="1">
      <alignment horizontal="center" vertical="center" wrapText="1"/>
    </xf>
    <xf numFmtId="0" fontId="29" fillId="0" borderId="19" xfId="0" applyFont="1" applyBorder="1" applyAlignment="1">
      <alignment horizontal="center" vertical="center" wrapText="1"/>
    </xf>
    <xf numFmtId="0" fontId="29" fillId="0" borderId="25" xfId="0" applyFont="1" applyBorder="1" applyAlignment="1">
      <alignment horizontal="center" vertical="center" wrapText="1"/>
    </xf>
    <xf numFmtId="0" fontId="29" fillId="0" borderId="38" xfId="0" applyFont="1" applyBorder="1" applyAlignment="1">
      <alignment horizontal="center" vertical="center" wrapText="1"/>
    </xf>
    <xf numFmtId="0" fontId="0" fillId="16" borderId="0" xfId="0" applyFill="1"/>
    <xf numFmtId="0" fontId="64" fillId="0" borderId="0" xfId="0" applyFont="1"/>
    <xf numFmtId="0" fontId="65" fillId="0" borderId="0" xfId="0" applyFont="1"/>
    <xf numFmtId="0" fontId="29" fillId="0" borderId="68" xfId="0" applyFont="1" applyBorder="1" applyAlignment="1">
      <alignment horizontal="center" vertical="center" wrapText="1"/>
    </xf>
    <xf numFmtId="0" fontId="29" fillId="0" borderId="76"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29" fillId="0" borderId="77" xfId="0" applyFont="1" applyBorder="1" applyAlignment="1">
      <alignment horizontal="center" vertical="center" wrapText="1"/>
    </xf>
    <xf numFmtId="41" fontId="67" fillId="0" borderId="9" xfId="1" applyFont="1" applyBorder="1" applyAlignment="1">
      <alignment horizontal="center" vertical="center"/>
    </xf>
    <xf numFmtId="0" fontId="9" fillId="0" borderId="24" xfId="0" applyFont="1" applyBorder="1" applyAlignment="1">
      <alignment horizontal="center" vertical="center" wrapText="1"/>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2" xfId="0" applyFont="1" applyBorder="1" applyAlignment="1">
      <alignment horizontal="center" vertical="center"/>
    </xf>
    <xf numFmtId="0" fontId="34" fillId="0" borderId="8" xfId="0" applyFont="1" applyBorder="1" applyAlignment="1">
      <alignment horizontal="center" vertical="center"/>
    </xf>
    <xf numFmtId="0" fontId="34" fillId="0" borderId="10" xfId="0" applyFont="1" applyBorder="1" applyAlignment="1">
      <alignment horizontal="center" vertical="center"/>
    </xf>
    <xf numFmtId="0" fontId="34" fillId="0" borderId="2"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21" fillId="2" borderId="11" xfId="0" applyFont="1" applyFill="1" applyBorder="1" applyAlignment="1">
      <alignment horizontal="center" vertical="center" wrapText="1"/>
    </xf>
    <xf numFmtId="0" fontId="21" fillId="2" borderId="12" xfId="0" applyFont="1" applyFill="1" applyBorder="1" applyAlignment="1">
      <alignment horizontal="center" vertical="center" wrapText="1"/>
    </xf>
    <xf numFmtId="0" fontId="21" fillId="2" borderId="13" xfId="0" applyFont="1" applyFill="1" applyBorder="1" applyAlignment="1">
      <alignment horizontal="center" vertical="center" wrapText="1"/>
    </xf>
    <xf numFmtId="0" fontId="49" fillId="5" borderId="7" xfId="0" applyFont="1" applyFill="1" applyBorder="1" applyAlignment="1">
      <alignment horizontal="center" vertical="center" textRotation="90"/>
    </xf>
    <xf numFmtId="0" fontId="19" fillId="5" borderId="6" xfId="0" applyFont="1" applyFill="1" applyBorder="1" applyAlignment="1">
      <alignment horizontal="center" vertical="center" textRotation="90"/>
    </xf>
    <xf numFmtId="0" fontId="19" fillId="5" borderId="5" xfId="0" applyFont="1" applyFill="1" applyBorder="1" applyAlignment="1">
      <alignment horizontal="center" vertical="center" textRotation="90"/>
    </xf>
    <xf numFmtId="0" fontId="18" fillId="2" borderId="1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18" fillId="2" borderId="22" xfId="0" applyFont="1" applyFill="1" applyBorder="1" applyAlignment="1">
      <alignment horizontal="center" vertical="center" wrapText="1"/>
    </xf>
    <xf numFmtId="0" fontId="18" fillId="2" borderId="58" xfId="0" applyFont="1" applyFill="1" applyBorder="1" applyAlignment="1">
      <alignment horizontal="center" vertical="center" wrapText="1"/>
    </xf>
    <xf numFmtId="0" fontId="21" fillId="2" borderId="55" xfId="0" applyFont="1" applyFill="1" applyBorder="1" applyAlignment="1">
      <alignment horizontal="center" vertical="center" wrapText="1"/>
    </xf>
    <xf numFmtId="0" fontId="21" fillId="2" borderId="46" xfId="0" applyFont="1" applyFill="1" applyBorder="1" applyAlignment="1">
      <alignment horizontal="center" vertical="center" wrapText="1"/>
    </xf>
    <xf numFmtId="0" fontId="52" fillId="0" borderId="0" xfId="0" applyFont="1" applyAlignment="1">
      <alignment horizontal="center" vertical="center"/>
    </xf>
    <xf numFmtId="0" fontId="28" fillId="2" borderId="7" xfId="0" applyFont="1" applyFill="1" applyBorder="1" applyAlignment="1">
      <alignment horizontal="center" vertical="center" wrapText="1"/>
    </xf>
    <xf numFmtId="0" fontId="28" fillId="2" borderId="6" xfId="0" applyFont="1" applyFill="1" applyBorder="1" applyAlignment="1">
      <alignment horizontal="center" vertical="center" wrapText="1"/>
    </xf>
    <xf numFmtId="0" fontId="1" fillId="0" borderId="7" xfId="0" applyFont="1" applyBorder="1" applyAlignment="1">
      <alignment horizontal="center" vertical="center" textRotation="90"/>
    </xf>
    <xf numFmtId="0" fontId="1" fillId="0" borderId="6" xfId="0" applyFont="1" applyBorder="1" applyAlignment="1">
      <alignment horizontal="center" vertical="center" textRotation="90"/>
    </xf>
    <xf numFmtId="0" fontId="1" fillId="0" borderId="3" xfId="0" applyFont="1" applyBorder="1" applyAlignment="1">
      <alignment horizontal="center" vertical="center" textRotation="90"/>
    </xf>
    <xf numFmtId="0" fontId="28" fillId="0" borderId="30" xfId="0" applyFont="1" applyBorder="1" applyAlignment="1">
      <alignment horizontal="center" vertical="center" wrapText="1"/>
    </xf>
    <xf numFmtId="0" fontId="28" fillId="0" borderId="21" xfId="0" applyFont="1" applyBorder="1" applyAlignment="1">
      <alignment horizontal="center" vertical="center" wrapText="1"/>
    </xf>
    <xf numFmtId="0" fontId="28" fillId="0" borderId="27" xfId="0" applyFont="1" applyBorder="1" applyAlignment="1">
      <alignment horizontal="center" vertical="center" wrapText="1"/>
    </xf>
    <xf numFmtId="0" fontId="28" fillId="0" borderId="37" xfId="0" applyFont="1" applyBorder="1" applyAlignment="1">
      <alignment horizontal="center" vertical="center" wrapText="1"/>
    </xf>
    <xf numFmtId="0" fontId="2" fillId="2" borderId="8"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4" fillId="6" borderId="7" xfId="0" applyFont="1" applyFill="1" applyBorder="1" applyAlignment="1">
      <alignment horizontal="center" vertical="center" wrapText="1"/>
    </xf>
    <xf numFmtId="0" fontId="24" fillId="6" borderId="6" xfId="0" applyFont="1" applyFill="1" applyBorder="1" applyAlignment="1">
      <alignment horizontal="center" vertical="center" wrapText="1"/>
    </xf>
    <xf numFmtId="0" fontId="24" fillId="6" borderId="3" xfId="0" applyFont="1" applyFill="1" applyBorder="1" applyAlignment="1">
      <alignment horizontal="center" vertical="center" wrapText="1"/>
    </xf>
    <xf numFmtId="0" fontId="60" fillId="6" borderId="7" xfId="0" applyFont="1" applyFill="1" applyBorder="1" applyAlignment="1">
      <alignment horizontal="center" vertical="center" wrapText="1"/>
    </xf>
    <xf numFmtId="0" fontId="60" fillId="6" borderId="6" xfId="0" applyFont="1" applyFill="1" applyBorder="1" applyAlignment="1">
      <alignment horizontal="center" vertical="center" wrapText="1"/>
    </xf>
    <xf numFmtId="0" fontId="60" fillId="6" borderId="3"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58" fillId="6" borderId="4" xfId="0" applyFont="1" applyFill="1" applyBorder="1" applyAlignment="1">
      <alignment horizontal="center" vertical="center" wrapText="1"/>
    </xf>
    <xf numFmtId="0" fontId="58" fillId="6" borderId="69" xfId="0" applyFont="1" applyFill="1" applyBorder="1" applyAlignment="1">
      <alignment horizontal="center" vertical="center" wrapText="1"/>
    </xf>
    <xf numFmtId="0" fontId="58" fillId="6" borderId="5"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28" fillId="6" borderId="69" xfId="0" applyFont="1" applyFill="1" applyBorder="1" applyAlignment="1">
      <alignment horizontal="center" vertical="center" wrapText="1"/>
    </xf>
    <xf numFmtId="0" fontId="28" fillId="6" borderId="5" xfId="0" applyFont="1" applyFill="1" applyBorder="1" applyAlignment="1">
      <alignment horizontal="center" vertical="center" wrapText="1"/>
    </xf>
    <xf numFmtId="0" fontId="60" fillId="6" borderId="4" xfId="0" applyFont="1" applyFill="1" applyBorder="1" applyAlignment="1">
      <alignment horizontal="center" vertical="center" wrapText="1"/>
    </xf>
    <xf numFmtId="0" fontId="60" fillId="6" borderId="69" xfId="0" applyFont="1" applyFill="1" applyBorder="1" applyAlignment="1">
      <alignment horizontal="center" vertical="center" wrapText="1"/>
    </xf>
    <xf numFmtId="0" fontId="60" fillId="6" borderId="5" xfId="0" applyFont="1" applyFill="1" applyBorder="1" applyAlignment="1">
      <alignment horizontal="center" vertical="center" wrapText="1"/>
    </xf>
    <xf numFmtId="0" fontId="24" fillId="6" borderId="4" xfId="0" applyFont="1" applyFill="1" applyBorder="1" applyAlignment="1">
      <alignment horizontal="center" vertical="center" wrapText="1"/>
    </xf>
    <xf numFmtId="0" fontId="24" fillId="6" borderId="69" xfId="0" applyFont="1" applyFill="1" applyBorder="1" applyAlignment="1">
      <alignment horizontal="center" vertical="center" wrapText="1"/>
    </xf>
    <xf numFmtId="0" fontId="24" fillId="6" borderId="5"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4" fillId="2" borderId="10"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61" fillId="6" borderId="7" xfId="0" applyFont="1" applyFill="1" applyBorder="1" applyAlignment="1">
      <alignment horizontal="center" vertical="center" wrapText="1"/>
    </xf>
    <xf numFmtId="0" fontId="61" fillId="6" borderId="6" xfId="0" applyFont="1" applyFill="1" applyBorder="1" applyAlignment="1">
      <alignment horizontal="center" vertical="center" wrapText="1"/>
    </xf>
    <xf numFmtId="0" fontId="61" fillId="6"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2"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2" xfId="0" applyFont="1" applyBorder="1" applyAlignment="1">
      <alignment horizontal="center" vertical="center" wrapText="1"/>
    </xf>
    <xf numFmtId="0" fontId="24" fillId="6" borderId="7" xfId="0" applyFont="1" applyFill="1" applyBorder="1" applyAlignment="1">
      <alignment horizontal="left" vertical="center" wrapText="1"/>
    </xf>
    <xf numFmtId="0" fontId="24" fillId="6" borderId="3" xfId="0" applyFont="1" applyFill="1" applyBorder="1" applyAlignment="1">
      <alignment horizontal="left" vertical="center" wrapText="1"/>
    </xf>
    <xf numFmtId="0" fontId="24" fillId="6" borderId="8" xfId="0" applyFont="1" applyFill="1" applyBorder="1" applyAlignment="1">
      <alignment horizontal="center" vertical="center" wrapText="1"/>
    </xf>
    <xf numFmtId="0" fontId="24" fillId="6" borderId="10" xfId="0" applyFont="1" applyFill="1" applyBorder="1" applyAlignment="1">
      <alignment horizontal="center" vertical="center" wrapText="1"/>
    </xf>
    <xf numFmtId="0" fontId="35" fillId="6" borderId="7" xfId="0" applyFont="1" applyFill="1" applyBorder="1" applyAlignment="1">
      <alignment horizontal="center" vertical="center" wrapText="1"/>
    </xf>
    <xf numFmtId="0" fontId="35" fillId="6" borderId="3" xfId="0" applyFont="1" applyFill="1" applyBorder="1" applyAlignment="1">
      <alignment horizontal="center" vertical="center" wrapText="1"/>
    </xf>
    <xf numFmtId="0" fontId="24" fillId="6" borderId="2" xfId="0" applyFont="1" applyFill="1" applyBorder="1" applyAlignment="1">
      <alignment horizontal="center" vertical="center" wrapText="1"/>
    </xf>
    <xf numFmtId="0" fontId="20" fillId="8" borderId="7" xfId="0" applyFont="1" applyFill="1" applyBorder="1" applyAlignment="1">
      <alignment horizontal="center" vertical="center" wrapText="1"/>
    </xf>
    <xf numFmtId="0" fontId="20" fillId="8" borderId="3" xfId="0" applyFont="1" applyFill="1" applyBorder="1" applyAlignment="1">
      <alignment horizontal="center" vertical="center" wrapText="1"/>
    </xf>
    <xf numFmtId="0" fontId="10" fillId="0" borderId="0" xfId="0" applyFont="1" applyAlignment="1">
      <alignment horizontal="center" vertical="center"/>
    </xf>
    <xf numFmtId="0" fontId="46" fillId="8" borderId="8" xfId="0" applyFont="1" applyFill="1" applyBorder="1" applyAlignment="1">
      <alignment horizontal="center" vertical="center"/>
    </xf>
    <xf numFmtId="0" fontId="46" fillId="8" borderId="10" xfId="0" applyFont="1" applyFill="1" applyBorder="1" applyAlignment="1">
      <alignment horizontal="center" vertical="center"/>
    </xf>
    <xf numFmtId="0" fontId="46" fillId="8" borderId="2" xfId="0" applyFont="1" applyFill="1" applyBorder="1" applyAlignment="1">
      <alignment horizontal="center" vertical="center"/>
    </xf>
    <xf numFmtId="0" fontId="44" fillId="6" borderId="8" xfId="0" applyFont="1" applyFill="1" applyBorder="1" applyAlignment="1">
      <alignment horizontal="center" vertical="center" wrapText="1"/>
    </xf>
    <xf numFmtId="0" fontId="44" fillId="6" borderId="10" xfId="0" applyFont="1" applyFill="1" applyBorder="1" applyAlignment="1">
      <alignment horizontal="center" vertical="center" wrapText="1"/>
    </xf>
    <xf numFmtId="0" fontId="44" fillId="6" borderId="2" xfId="0" applyFont="1" applyFill="1" applyBorder="1" applyAlignment="1">
      <alignment horizontal="center" vertical="center" wrapText="1"/>
    </xf>
    <xf numFmtId="0" fontId="48" fillId="6" borderId="8" xfId="0" applyFont="1" applyFill="1" applyBorder="1" applyAlignment="1">
      <alignment horizontal="center" vertical="center" wrapText="1"/>
    </xf>
    <xf numFmtId="0" fontId="48" fillId="6" borderId="10" xfId="0" applyFont="1" applyFill="1" applyBorder="1" applyAlignment="1">
      <alignment horizontal="center" vertical="center" wrapText="1"/>
    </xf>
    <xf numFmtId="0" fontId="48" fillId="6" borderId="2" xfId="0" applyFont="1" applyFill="1" applyBorder="1" applyAlignment="1">
      <alignment horizontal="center" vertical="center" wrapText="1"/>
    </xf>
    <xf numFmtId="0" fontId="31" fillId="0" borderId="0" xfId="0" applyFont="1" applyAlignment="1">
      <alignment horizontal="center"/>
    </xf>
    <xf numFmtId="0" fontId="68" fillId="0" borderId="0" xfId="0" applyFont="1"/>
    <xf numFmtId="0" fontId="8" fillId="0" borderId="7"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41" fontId="69" fillId="0" borderId="9" xfId="1" applyFont="1" applyBorder="1" applyAlignment="1">
      <alignment horizontal="center"/>
    </xf>
    <xf numFmtId="41" fontId="69" fillId="0" borderId="9" xfId="1" applyFont="1" applyBorder="1" applyAlignment="1"/>
    <xf numFmtId="41" fontId="69" fillId="0" borderId="9" xfId="1" applyFont="1" applyBorder="1" applyAlignment="1">
      <alignment horizontal="left"/>
    </xf>
    <xf numFmtId="0" fontId="69" fillId="0" borderId="9" xfId="0" applyFont="1" applyBorder="1"/>
    <xf numFmtId="0" fontId="9" fillId="2" borderId="1" xfId="0" applyFont="1" applyFill="1" applyBorder="1" applyAlignment="1">
      <alignment horizontal="center" vertical="center" wrapText="1"/>
    </xf>
    <xf numFmtId="0" fontId="70" fillId="0" borderId="1" xfId="0" applyFont="1" applyBorder="1" applyAlignment="1" applyProtection="1">
      <alignment horizontal="center" vertical="center" wrapText="1"/>
      <protection locked="0"/>
    </xf>
    <xf numFmtId="0" fontId="9" fillId="9" borderId="3" xfId="0" applyFont="1" applyFill="1" applyBorder="1" applyAlignment="1">
      <alignment horizontal="center" vertical="center" wrapText="1"/>
    </xf>
    <xf numFmtId="0" fontId="71" fillId="0" borderId="0" xfId="0" applyFont="1"/>
  </cellXfs>
  <cellStyles count="2">
    <cellStyle name="Milliers [0] 2" xfId="1" xr:uid="{F53D0EDD-D17A-4C11-80F2-ABFCD2157E6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9526</xdr:colOff>
      <xdr:row>24</xdr:row>
      <xdr:rowOff>28575</xdr:rowOff>
    </xdr:from>
    <xdr:to>
      <xdr:col>8</xdr:col>
      <xdr:colOff>0</xdr:colOff>
      <xdr:row>35</xdr:row>
      <xdr:rowOff>76200</xdr:rowOff>
    </xdr:to>
    <xdr:sp macro="" textlink="">
      <xdr:nvSpPr>
        <xdr:cNvPr id="18433" name="WordArt 1">
          <a:extLst>
            <a:ext uri="{FF2B5EF4-FFF2-40B4-BE49-F238E27FC236}">
              <a16:creationId xmlns:a16="http://schemas.microsoft.com/office/drawing/2014/main" id="{00000000-0008-0000-0000-000001480000}"/>
            </a:ext>
          </a:extLst>
        </xdr:cNvPr>
        <xdr:cNvSpPr>
          <a:spLocks noChangeArrowheads="1" noChangeShapeType="1" noTextEdit="1"/>
        </xdr:cNvSpPr>
      </xdr:nvSpPr>
      <xdr:spPr bwMode="auto">
        <a:xfrm>
          <a:off x="9526" y="4600575"/>
          <a:ext cx="6086474" cy="2143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fr-FR" sz="600" b="1" kern="10" spc="0">
              <a:ln w="9525">
                <a:solidFill>
                  <a:srgbClr val="000000"/>
                </a:solidFill>
                <a:round/>
                <a:headEnd/>
                <a:tailEnd/>
              </a:ln>
              <a:solidFill>
                <a:srgbClr val="000000"/>
              </a:solidFill>
              <a:effectLst/>
              <a:latin typeface="Arial" panose="020B0604020202020204" pitchFamily="34" charset="0"/>
              <a:cs typeface="Arial" panose="020B0604020202020204" pitchFamily="34" charset="0"/>
            </a:rPr>
            <a:t>RAPPORT DU</a:t>
          </a:r>
          <a:r>
            <a:rPr lang="fr-FR" sz="600" b="1" kern="10" spc="0" baseline="0">
              <a:ln w="9525">
                <a:solidFill>
                  <a:srgbClr val="000000"/>
                </a:solidFill>
                <a:round/>
                <a:headEnd/>
                <a:tailEnd/>
              </a:ln>
              <a:solidFill>
                <a:srgbClr val="000000"/>
              </a:solidFill>
              <a:effectLst/>
              <a:latin typeface="Arial" panose="020B0604020202020204" pitchFamily="34" charset="0"/>
              <a:cs typeface="Arial" panose="020B0604020202020204" pitchFamily="34" charset="0"/>
            </a:rPr>
            <a:t> PREMIER</a:t>
          </a:r>
          <a:r>
            <a:rPr lang="fr-FR" sz="600" b="1" kern="10" spc="0">
              <a:ln w="9525">
                <a:solidFill>
                  <a:srgbClr val="000000"/>
                </a:solidFill>
                <a:round/>
                <a:headEnd/>
                <a:tailEnd/>
              </a:ln>
              <a:solidFill>
                <a:srgbClr val="000000"/>
              </a:solidFill>
              <a:effectLst/>
              <a:latin typeface="Arial" panose="020B0604020202020204" pitchFamily="34" charset="0"/>
              <a:cs typeface="Arial" panose="020B0604020202020204" pitchFamily="34" charset="0"/>
            </a:rPr>
            <a:t> </a:t>
          </a:r>
        </a:p>
        <a:p>
          <a:pPr algn="ctr" rtl="0">
            <a:buNone/>
          </a:pPr>
          <a:r>
            <a:rPr lang="fr-FR" sz="600" b="1" kern="10" spc="0">
              <a:ln w="9525">
                <a:solidFill>
                  <a:srgbClr val="000000"/>
                </a:solidFill>
                <a:round/>
                <a:headEnd/>
                <a:tailEnd/>
              </a:ln>
              <a:solidFill>
                <a:srgbClr val="000000"/>
              </a:solidFill>
              <a:effectLst/>
              <a:latin typeface="Arial" panose="020B0604020202020204" pitchFamily="34" charset="0"/>
              <a:cs typeface="Arial" panose="020B0604020202020204" pitchFamily="34" charset="0"/>
            </a:rPr>
            <a:t>TRIMESTRE  2025-2026</a:t>
          </a:r>
        </a:p>
      </xdr:txBody>
    </xdr:sp>
    <xdr:clientData/>
  </xdr:twoCellAnchor>
  <xdr:twoCellAnchor>
    <xdr:from>
      <xdr:col>0</xdr:col>
      <xdr:colOff>66675</xdr:colOff>
      <xdr:row>1</xdr:row>
      <xdr:rowOff>114300</xdr:rowOff>
    </xdr:from>
    <xdr:to>
      <xdr:col>8</xdr:col>
      <xdr:colOff>9525</xdr:colOff>
      <xdr:row>5</xdr:row>
      <xdr:rowOff>66675</xdr:rowOff>
    </xdr:to>
    <xdr:sp macro="" textlink="">
      <xdr:nvSpPr>
        <xdr:cNvPr id="3" name="ZoneTexte 2">
          <a:extLst>
            <a:ext uri="{FF2B5EF4-FFF2-40B4-BE49-F238E27FC236}">
              <a16:creationId xmlns:a16="http://schemas.microsoft.com/office/drawing/2014/main" id="{00000000-0008-0000-0000-000003000000}"/>
            </a:ext>
          </a:extLst>
        </xdr:cNvPr>
        <xdr:cNvSpPr txBox="1"/>
      </xdr:nvSpPr>
      <xdr:spPr>
        <a:xfrm>
          <a:off x="66675" y="304800"/>
          <a:ext cx="603885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800" b="1">
              <a:solidFill>
                <a:schemeClr val="dk1"/>
              </a:solidFill>
              <a:effectLst/>
              <a:latin typeface="+mn-lt"/>
              <a:ea typeface="+mn-ea"/>
              <a:cs typeface="+mn-cs"/>
            </a:rPr>
            <a:t>REPUBLIQUE DE COTE D’IVOIRE</a:t>
          </a:r>
          <a:endParaRPr lang="fr-FR" sz="1800">
            <a:effectLst/>
          </a:endParaRPr>
        </a:p>
        <a:p>
          <a:pPr algn="ctr"/>
          <a:r>
            <a:rPr lang="fr-FR" sz="1800" b="1">
              <a:solidFill>
                <a:schemeClr val="dk1"/>
              </a:solidFill>
              <a:effectLst/>
              <a:latin typeface="+mn-lt"/>
              <a:ea typeface="+mn-ea"/>
              <a:cs typeface="+mn-cs"/>
            </a:rPr>
            <a:t> Union – Discipline – Travail </a:t>
          </a:r>
          <a:endParaRPr lang="fr-FR" sz="1800">
            <a:effectLst/>
          </a:endParaRPr>
        </a:p>
        <a:p>
          <a:r>
            <a:rPr lang="fr-FR" sz="1800" b="1">
              <a:solidFill>
                <a:schemeClr val="dk1"/>
              </a:solidFill>
              <a:effectLst/>
              <a:latin typeface="+mn-lt"/>
              <a:ea typeface="+mn-ea"/>
              <a:cs typeface="+mn-cs"/>
            </a:rPr>
            <a:t> </a:t>
          </a:r>
          <a:endParaRPr lang="fr-FR" sz="1800">
            <a:effectLst/>
          </a:endParaRPr>
        </a:p>
        <a:p>
          <a:endParaRPr lang="fr-FR" sz="1200"/>
        </a:p>
      </xdr:txBody>
    </xdr:sp>
    <xdr:clientData/>
  </xdr:twoCellAnchor>
  <xdr:twoCellAnchor>
    <xdr:from>
      <xdr:col>0</xdr:col>
      <xdr:colOff>76200</xdr:colOff>
      <xdr:row>6</xdr:row>
      <xdr:rowOff>66674</xdr:rowOff>
    </xdr:from>
    <xdr:to>
      <xdr:col>7</xdr:col>
      <xdr:colOff>752475</xdr:colOff>
      <xdr:row>16</xdr:row>
      <xdr:rowOff>104775</xdr:rowOff>
    </xdr:to>
    <xdr:sp macro="" textlink="">
      <xdr:nvSpPr>
        <xdr:cNvPr id="4" name="ZoneTexte 3">
          <a:extLst>
            <a:ext uri="{FF2B5EF4-FFF2-40B4-BE49-F238E27FC236}">
              <a16:creationId xmlns:a16="http://schemas.microsoft.com/office/drawing/2014/main" id="{00000000-0008-0000-0000-000004000000}"/>
            </a:ext>
          </a:extLst>
        </xdr:cNvPr>
        <xdr:cNvSpPr txBox="1"/>
      </xdr:nvSpPr>
      <xdr:spPr>
        <a:xfrm>
          <a:off x="76200" y="1209674"/>
          <a:ext cx="6010275" cy="1943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b="1">
              <a:solidFill>
                <a:schemeClr val="dk1"/>
              </a:solidFill>
              <a:effectLst/>
              <a:latin typeface="+mn-lt"/>
              <a:ea typeface="+mn-ea"/>
              <a:cs typeface="+mn-cs"/>
            </a:rPr>
            <a:t> </a:t>
          </a:r>
          <a:endParaRPr lang="fr-FR">
            <a:effectLst/>
          </a:endParaRPr>
        </a:p>
        <a:p>
          <a:pPr algn="ctr"/>
          <a:r>
            <a:rPr lang="fr-FR" sz="1800" b="1">
              <a:solidFill>
                <a:schemeClr val="dk1"/>
              </a:solidFill>
              <a:effectLst/>
              <a:latin typeface="+mn-lt"/>
              <a:ea typeface="+mn-ea"/>
              <a:cs typeface="+mn-cs"/>
            </a:rPr>
            <a:t>MINISTERE DE L’EDUCATION NATIONALE</a:t>
          </a:r>
          <a:endParaRPr lang="fr-FR" sz="1800">
            <a:effectLst/>
          </a:endParaRPr>
        </a:p>
        <a:p>
          <a:pPr algn="ctr"/>
          <a:r>
            <a:rPr lang="fr-FR" sz="1800" b="1">
              <a:solidFill>
                <a:schemeClr val="dk1"/>
              </a:solidFill>
              <a:effectLst/>
              <a:latin typeface="+mn-lt"/>
              <a:ea typeface="+mn-ea"/>
              <a:cs typeface="+mn-cs"/>
            </a:rPr>
            <a:t>ET DE L’ALPHABETISATION</a:t>
          </a:r>
          <a:endParaRPr lang="fr-FR" sz="1800">
            <a:effectLst/>
          </a:endParaRPr>
        </a:p>
        <a:p>
          <a:pPr algn="ctr"/>
          <a:r>
            <a:rPr lang="en-CA" sz="1800">
              <a:solidFill>
                <a:schemeClr val="dk1"/>
              </a:solidFill>
              <a:effectLst/>
              <a:latin typeface="+mn-lt"/>
              <a:ea typeface="+mn-ea"/>
              <a:cs typeface="+mn-cs"/>
            </a:rPr>
            <a:t>----------------------------------------------</a:t>
          </a:r>
          <a:endParaRPr lang="fr-FR" sz="1800">
            <a:effectLst/>
          </a:endParaRPr>
        </a:p>
        <a:p>
          <a:pPr algn="ctr"/>
          <a:r>
            <a:rPr lang="en-CA" sz="1800" b="1">
              <a:solidFill>
                <a:schemeClr val="dk1"/>
              </a:solidFill>
              <a:effectLst/>
              <a:latin typeface="+mn-lt"/>
              <a:ea typeface="+mn-ea"/>
              <a:cs typeface="+mn-cs"/>
            </a:rPr>
            <a:t>DIRECTION REGIONALE DE KORHOGO</a:t>
          </a:r>
          <a:endParaRPr lang="fr-FR" sz="1800">
            <a:effectLst/>
          </a:endParaRPr>
        </a:p>
        <a:p>
          <a:pPr algn="ctr"/>
          <a:r>
            <a:rPr lang="en-CA" sz="1800">
              <a:solidFill>
                <a:schemeClr val="dk1"/>
              </a:solidFill>
              <a:effectLst/>
              <a:latin typeface="+mn-lt"/>
              <a:ea typeface="+mn-ea"/>
              <a:cs typeface="+mn-cs"/>
            </a:rPr>
            <a:t>----------------------------------------------</a:t>
          </a:r>
          <a:r>
            <a:rPr lang="fr-FR" sz="1800">
              <a:solidFill>
                <a:schemeClr val="dk1"/>
              </a:solidFill>
              <a:effectLst/>
              <a:latin typeface="+mn-lt"/>
              <a:ea typeface="+mn-ea"/>
              <a:cs typeface="+mn-cs"/>
            </a:rPr>
            <a:t> </a:t>
          </a:r>
          <a:r>
            <a:rPr lang="en-CA" sz="1800" b="1">
              <a:solidFill>
                <a:schemeClr val="dk1"/>
              </a:solidFill>
              <a:effectLst/>
              <a:latin typeface="+mn-lt"/>
              <a:ea typeface="+mn-ea"/>
              <a:cs typeface="+mn-cs"/>
            </a:rPr>
            <a:t> </a:t>
          </a:r>
          <a:endParaRPr lang="fr-FR" sz="1800">
            <a:effectLst/>
          </a:endParaRPr>
        </a:p>
        <a:p>
          <a:endParaRPr lang="fr-FR" sz="1100"/>
        </a:p>
      </xdr:txBody>
    </xdr:sp>
    <xdr:clientData/>
  </xdr:twoCellAnchor>
  <xdr:twoCellAnchor>
    <xdr:from>
      <xdr:col>0</xdr:col>
      <xdr:colOff>0</xdr:colOff>
      <xdr:row>14</xdr:row>
      <xdr:rowOff>169545</xdr:rowOff>
    </xdr:from>
    <xdr:to>
      <xdr:col>7</xdr:col>
      <xdr:colOff>752475</xdr:colOff>
      <xdr:row>21</xdr:row>
      <xdr:rowOff>95250</xdr:rowOff>
    </xdr:to>
    <xdr:sp macro="" textlink="">
      <xdr:nvSpPr>
        <xdr:cNvPr id="6" name="ZoneTexte 5">
          <a:extLst>
            <a:ext uri="{FF2B5EF4-FFF2-40B4-BE49-F238E27FC236}">
              <a16:creationId xmlns:a16="http://schemas.microsoft.com/office/drawing/2014/main" id="{00000000-0008-0000-0000-000006000000}"/>
            </a:ext>
          </a:extLst>
        </xdr:cNvPr>
        <xdr:cNvSpPr txBox="1"/>
      </xdr:nvSpPr>
      <xdr:spPr>
        <a:xfrm>
          <a:off x="0" y="2836545"/>
          <a:ext cx="6086475" cy="1259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1800" b="1">
              <a:solidFill>
                <a:schemeClr val="dk1"/>
              </a:solidFill>
              <a:effectLst/>
              <a:latin typeface="+mn-lt"/>
              <a:ea typeface="+mn-ea"/>
              <a:cs typeface="+mn-cs"/>
            </a:rPr>
            <a:t>Nom</a:t>
          </a:r>
          <a:r>
            <a:rPr lang="fr-FR" sz="1800" b="1" baseline="0">
              <a:solidFill>
                <a:schemeClr val="dk1"/>
              </a:solidFill>
              <a:effectLst/>
              <a:latin typeface="+mn-lt"/>
              <a:ea typeface="+mn-ea"/>
              <a:cs typeface="+mn-cs"/>
            </a:rPr>
            <a:t> de l'établissement:  COLLEGE PRIVE CONFESSIONNEL  HINNEH DE KATIOFI-KORHOGO</a:t>
          </a:r>
          <a:endParaRPr lang="fr-FR" sz="1800">
            <a:effectLst/>
            <a:latin typeface="Aptos" panose="020B0004020202020204" pitchFamily="34" charset="0"/>
          </a:endParaRPr>
        </a:p>
        <a:p>
          <a:pPr algn="l"/>
          <a:r>
            <a:rPr lang="en-US" sz="1800" b="1">
              <a:solidFill>
                <a:schemeClr val="dk1"/>
              </a:solidFill>
              <a:effectLst/>
              <a:latin typeface="+mn-lt"/>
              <a:ea typeface="+mn-ea"/>
              <a:cs typeface="+mn-cs"/>
            </a:rPr>
            <a:t>Tel: 0708009642</a:t>
          </a:r>
          <a:endParaRPr lang="fr-FR" sz="1800">
            <a:effectLst/>
          </a:endParaRPr>
        </a:p>
        <a:p>
          <a:pPr algn="l"/>
          <a:r>
            <a:rPr lang="fr-FR" sz="1800" b="1">
              <a:solidFill>
                <a:schemeClr val="dk1"/>
              </a:solidFill>
              <a:effectLst/>
              <a:latin typeface="+mn-lt"/>
              <a:ea typeface="+mn-ea"/>
              <a:cs typeface="+mn-cs"/>
            </a:rPr>
            <a:t>mail : gscislamiquuehinnehkgo@gmail.com</a:t>
          </a:r>
          <a:endParaRPr lang="fr-FR" sz="1800">
            <a:effectLst/>
          </a:endParaRPr>
        </a:p>
      </xdr:txBody>
    </xdr:sp>
    <xdr:clientData/>
  </xdr:twoCellAnchor>
  <xdr:twoCellAnchor>
    <xdr:from>
      <xdr:col>0</xdr:col>
      <xdr:colOff>28575</xdr:colOff>
      <xdr:row>21</xdr:row>
      <xdr:rowOff>57150</xdr:rowOff>
    </xdr:from>
    <xdr:to>
      <xdr:col>8</xdr:col>
      <xdr:colOff>9525</xdr:colOff>
      <xdr:row>23</xdr:row>
      <xdr:rowOff>114300</xdr:rowOff>
    </xdr:to>
    <xdr:sp macro="" textlink="">
      <xdr:nvSpPr>
        <xdr:cNvPr id="2" name="ZoneTexte 1">
          <a:extLst>
            <a:ext uri="{FF2B5EF4-FFF2-40B4-BE49-F238E27FC236}">
              <a16:creationId xmlns:a16="http://schemas.microsoft.com/office/drawing/2014/main" id="{269C4B36-0666-01C2-7882-47A94388384F}"/>
            </a:ext>
          </a:extLst>
        </xdr:cNvPr>
        <xdr:cNvSpPr txBox="1"/>
      </xdr:nvSpPr>
      <xdr:spPr>
        <a:xfrm>
          <a:off x="28575" y="4057650"/>
          <a:ext cx="6076950" cy="4381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600" b="1">
              <a:solidFill>
                <a:schemeClr val="dk1"/>
              </a:solidFill>
              <a:effectLst/>
              <a:latin typeface="+mn-lt"/>
              <a:ea typeface="+mn-ea"/>
              <a:cs typeface="+mn-cs"/>
            </a:rPr>
            <a:t>DIRECTION DE L’ENCADREMENT DE L’ENSEIGNEMENT PRIVE </a:t>
          </a:r>
          <a:r>
            <a:rPr lang="fr-CI" sz="1600" b="0">
              <a:solidFill>
                <a:schemeClr val="dk1"/>
              </a:solidFill>
              <a:effectLst/>
              <a:latin typeface="+mn-lt"/>
              <a:ea typeface="+mn-ea"/>
              <a:cs typeface="+mn-cs"/>
            </a:rPr>
            <a:t>(</a:t>
          </a:r>
          <a:r>
            <a:rPr lang="fr-FR" sz="1600" b="1">
              <a:solidFill>
                <a:schemeClr val="dk1"/>
              </a:solidFill>
              <a:effectLst/>
              <a:latin typeface="+mn-lt"/>
              <a:ea typeface="+mn-ea"/>
              <a:cs typeface="+mn-cs"/>
            </a:rPr>
            <a:t>DEEP)</a:t>
          </a:r>
          <a:endParaRPr lang="fr-CI" sz="1600">
            <a:effectLst/>
          </a:endParaRPr>
        </a:p>
        <a:p>
          <a:endParaRPr lang="fr-CI" sz="1100"/>
        </a:p>
      </xdr:txBody>
    </xdr:sp>
    <xdr:clientData/>
  </xdr:twoCellAnchor>
  <xdr:twoCellAnchor editAs="oneCell">
    <xdr:from>
      <xdr:col>0</xdr:col>
      <xdr:colOff>104775</xdr:colOff>
      <xdr:row>0</xdr:row>
      <xdr:rowOff>133349</xdr:rowOff>
    </xdr:from>
    <xdr:to>
      <xdr:col>1</xdr:col>
      <xdr:colOff>352426</xdr:colOff>
      <xdr:row>6</xdr:row>
      <xdr:rowOff>19049</xdr:rowOff>
    </xdr:to>
    <xdr:pic>
      <xdr:nvPicPr>
        <xdr:cNvPr id="5" name="Image 4">
          <a:extLst>
            <a:ext uri="{FF2B5EF4-FFF2-40B4-BE49-F238E27FC236}">
              <a16:creationId xmlns:a16="http://schemas.microsoft.com/office/drawing/2014/main" id="{D8EA53ED-9F13-44D3-B5B6-D214A9755A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133349"/>
          <a:ext cx="1009651" cy="1028700"/>
        </a:xfrm>
        <a:prstGeom prst="rect">
          <a:avLst/>
        </a:prstGeom>
        <a:noFill/>
        <a:ln>
          <a:noFill/>
        </a:ln>
      </xdr:spPr>
    </xdr:pic>
    <xdr:clientData/>
  </xdr:twoCellAnchor>
  <xdr:twoCellAnchor editAs="oneCell">
    <xdr:from>
      <xdr:col>6</xdr:col>
      <xdr:colOff>390525</xdr:colOff>
      <xdr:row>0</xdr:row>
      <xdr:rowOff>85725</xdr:rowOff>
    </xdr:from>
    <xdr:to>
      <xdr:col>7</xdr:col>
      <xdr:colOff>676275</xdr:colOff>
      <xdr:row>6</xdr:row>
      <xdr:rowOff>38099</xdr:rowOff>
    </xdr:to>
    <xdr:pic>
      <xdr:nvPicPr>
        <xdr:cNvPr id="7" name="Image 6">
          <a:extLst>
            <a:ext uri="{FF2B5EF4-FFF2-40B4-BE49-F238E27FC236}">
              <a16:creationId xmlns:a16="http://schemas.microsoft.com/office/drawing/2014/main" id="{09F759F8-B59E-450F-9E79-2FF309787D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62525" y="85725"/>
          <a:ext cx="1047750" cy="109537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66675</xdr:rowOff>
    </xdr:from>
    <xdr:to>
      <xdr:col>7</xdr:col>
      <xdr:colOff>666750</xdr:colOff>
      <xdr:row>29</xdr:row>
      <xdr:rowOff>0</xdr:rowOff>
    </xdr:to>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14300" y="7496175"/>
          <a:ext cx="5886450" cy="9620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800" b="1">
              <a:solidFill>
                <a:schemeClr val="dk1"/>
              </a:solidFill>
              <a:effectLst/>
              <a:latin typeface="Times New Roman" pitchFamily="18" charset="0"/>
              <a:ea typeface="+mn-ea"/>
              <a:cs typeface="Times New Roman" pitchFamily="18" charset="0"/>
            </a:rPr>
            <a:t>SOMMAIRE</a:t>
          </a:r>
        </a:p>
        <a:p>
          <a:r>
            <a:rPr lang="fr-FR" sz="1200" b="1">
              <a:solidFill>
                <a:schemeClr val="dk1"/>
              </a:solidFill>
              <a:effectLst/>
              <a:latin typeface="Times New Roman" pitchFamily="18" charset="0"/>
              <a:ea typeface="+mn-ea"/>
              <a:cs typeface="Times New Roman" pitchFamily="18" charset="0"/>
            </a:rPr>
            <a:t>INTRODUCTION </a:t>
          </a:r>
          <a:r>
            <a:rPr lang="fr-FR" sz="1200">
              <a:solidFill>
                <a:schemeClr val="dk1"/>
              </a:solidFill>
              <a:effectLst/>
              <a:latin typeface="Times New Roman" pitchFamily="18" charset="0"/>
              <a:ea typeface="+mn-ea"/>
              <a:cs typeface="Times New Roman" pitchFamily="18" charset="0"/>
            </a:rPr>
            <a:t>………………………………..……..........................................</a:t>
          </a:r>
        </a:p>
        <a:p>
          <a:r>
            <a:rPr lang="fr-FR" sz="1200" b="1" cap="all">
              <a:solidFill>
                <a:schemeClr val="dk1"/>
              </a:solidFill>
              <a:effectLst/>
              <a:latin typeface="Times New Roman" pitchFamily="18" charset="0"/>
              <a:ea typeface="+mn-ea"/>
              <a:cs typeface="Times New Roman" pitchFamily="18" charset="0"/>
            </a:rPr>
            <a:t>Chapitre I : VIE PEDAGOGIQUE ET RESULTATS SCOLAIRES</a:t>
          </a:r>
          <a:r>
            <a:rPr lang="fr-FR" sz="1200" cap="all">
              <a:solidFill>
                <a:schemeClr val="dk1"/>
              </a:solidFill>
              <a:effectLst/>
              <a:latin typeface="Times New Roman" pitchFamily="18" charset="0"/>
              <a:ea typeface="+mn-ea"/>
              <a:cs typeface="Times New Roman" pitchFamily="18" charset="0"/>
            </a:rPr>
            <a:t>………</a:t>
          </a:r>
          <a:endParaRPr lang="fr-FR" sz="1200">
            <a:solidFill>
              <a:schemeClr val="dk1"/>
            </a:solidFill>
            <a:effectLst/>
            <a:latin typeface="Times New Roman" pitchFamily="18" charset="0"/>
            <a:ea typeface="+mn-ea"/>
            <a:cs typeface="Times New Roman" pitchFamily="18" charset="0"/>
          </a:endParaRPr>
        </a:p>
        <a:p>
          <a:r>
            <a:rPr lang="fr-FR" sz="1200" b="1">
              <a:solidFill>
                <a:schemeClr val="dk1"/>
              </a:solidFill>
              <a:effectLst/>
              <a:latin typeface="Times New Roman" pitchFamily="18" charset="0"/>
              <a:ea typeface="+mn-ea"/>
              <a:cs typeface="Times New Roman" pitchFamily="18" charset="0"/>
            </a:rPr>
            <a:t> A- VIE PEDAGOGIQUE</a:t>
          </a:r>
          <a:r>
            <a:rPr lang="fr-FR" sz="1200">
              <a:solidFill>
                <a:schemeClr val="dk1"/>
              </a:solidFill>
              <a:effectLst/>
              <a:latin typeface="Times New Roman" pitchFamily="18" charset="0"/>
              <a:ea typeface="+mn-ea"/>
              <a:cs typeface="Times New Roman" pitchFamily="18" charset="0"/>
            </a:rPr>
            <a:t>………………………………………………………....</a:t>
          </a:r>
        </a:p>
        <a:p>
          <a:pPr lvl="0"/>
          <a:r>
            <a:rPr lang="fr-FR" sz="1200">
              <a:solidFill>
                <a:schemeClr val="dk1"/>
              </a:solidFill>
              <a:effectLst/>
              <a:latin typeface="Times New Roman" pitchFamily="18" charset="0"/>
              <a:ea typeface="+mn-ea"/>
              <a:cs typeface="Times New Roman" pitchFamily="18" charset="0"/>
            </a:rPr>
            <a:t>1- Activité des unités pédagogiques et des conseils d’enseignement……………….</a:t>
          </a:r>
        </a:p>
        <a:p>
          <a:r>
            <a:rPr lang="fr-FR" sz="1200" b="1">
              <a:solidFill>
                <a:schemeClr val="dk1"/>
              </a:solidFill>
              <a:effectLst/>
              <a:latin typeface="Times New Roman" pitchFamily="18" charset="0"/>
              <a:ea typeface="+mn-ea"/>
              <a:cs typeface="Times New Roman" pitchFamily="18" charset="0"/>
            </a:rPr>
            <a:t>2-</a:t>
          </a:r>
          <a:r>
            <a:rPr lang="fr-FR" sz="1200" b="1" baseline="0">
              <a:solidFill>
                <a:schemeClr val="dk1"/>
              </a:solidFill>
              <a:effectLst/>
              <a:latin typeface="Times New Roman" pitchFamily="18" charset="0"/>
              <a:ea typeface="+mn-ea"/>
              <a:cs typeface="Times New Roman" pitchFamily="18" charset="0"/>
            </a:rPr>
            <a:t> </a:t>
          </a:r>
          <a:r>
            <a:rPr lang="fr-FR" sz="1200">
              <a:solidFill>
                <a:schemeClr val="dk1"/>
              </a:solidFill>
              <a:effectLst/>
              <a:latin typeface="Times New Roman" pitchFamily="18" charset="0"/>
              <a:ea typeface="+mn-ea"/>
              <a:cs typeface="Times New Roman" pitchFamily="18" charset="0"/>
            </a:rPr>
            <a:t>Visites de</a:t>
          </a:r>
          <a:r>
            <a:rPr lang="fr-FR" sz="1200" baseline="0">
              <a:solidFill>
                <a:schemeClr val="dk1"/>
              </a:solidFill>
              <a:effectLst/>
              <a:latin typeface="Times New Roman" pitchFamily="18" charset="0"/>
              <a:ea typeface="+mn-ea"/>
              <a:cs typeface="Times New Roman" pitchFamily="18" charset="0"/>
            </a:rPr>
            <a:t> </a:t>
          </a:r>
          <a:r>
            <a:rPr lang="fr-FR" sz="1200">
              <a:solidFill>
                <a:schemeClr val="dk1"/>
              </a:solidFill>
              <a:effectLst/>
              <a:latin typeface="Times New Roman" pitchFamily="18" charset="0"/>
              <a:ea typeface="+mn-ea"/>
              <a:cs typeface="Times New Roman" pitchFamily="18" charset="0"/>
            </a:rPr>
            <a:t>classse et formations ……………………………….............................</a:t>
          </a:r>
        </a:p>
        <a:p>
          <a:r>
            <a:rPr lang="fr-FR" sz="1200">
              <a:solidFill>
                <a:schemeClr val="dk1"/>
              </a:solidFill>
              <a:effectLst/>
              <a:latin typeface="Times New Roman" pitchFamily="18" charset="0"/>
              <a:ea typeface="+mn-ea"/>
              <a:cs typeface="Times New Roman" pitchFamily="18" charset="0"/>
            </a:rPr>
            <a:t>   2.1-visites de classe.................................................................................................</a:t>
          </a:r>
        </a:p>
        <a:p>
          <a:r>
            <a:rPr lang="fr-FR" sz="1200">
              <a:solidFill>
                <a:schemeClr val="dk1"/>
              </a:solidFill>
              <a:effectLst/>
              <a:latin typeface="Times New Roman" pitchFamily="18" charset="0"/>
              <a:ea typeface="+mn-ea"/>
              <a:cs typeface="Times New Roman" pitchFamily="18" charset="0"/>
            </a:rPr>
            <a:t>   2.2-formations.........................................................................................................</a:t>
          </a:r>
        </a:p>
        <a:p>
          <a:pPr lvl="0"/>
          <a:r>
            <a:rPr lang="fr-FR" sz="1200" b="1">
              <a:solidFill>
                <a:schemeClr val="dk1"/>
              </a:solidFill>
              <a:effectLst/>
              <a:latin typeface="Times New Roman" pitchFamily="18" charset="0"/>
              <a:ea typeface="+mn-ea"/>
              <a:cs typeface="Times New Roman" pitchFamily="18" charset="0"/>
            </a:rPr>
            <a:t>B- RESULTATS SCOLAIRES</a:t>
          </a:r>
          <a:r>
            <a:rPr lang="fr-FR" sz="1200">
              <a:solidFill>
                <a:schemeClr val="dk1"/>
              </a:solidFill>
              <a:effectLst/>
              <a:latin typeface="Times New Roman" pitchFamily="18" charset="0"/>
              <a:ea typeface="+mn-ea"/>
              <a:cs typeface="Times New Roman" pitchFamily="18" charset="0"/>
            </a:rPr>
            <a:t>…………………………………………...............</a:t>
          </a:r>
        </a:p>
        <a:p>
          <a:r>
            <a:rPr lang="fr-FR" sz="1200" b="1">
              <a:solidFill>
                <a:schemeClr val="dk1"/>
              </a:solidFill>
              <a:effectLst/>
              <a:latin typeface="Times New Roman" pitchFamily="18" charset="0"/>
              <a:ea typeface="+mn-ea"/>
              <a:cs typeface="Times New Roman" pitchFamily="18" charset="0"/>
            </a:rPr>
            <a:t>1- NOMBRE D'ELEVES PAR NIVEAUX</a:t>
          </a:r>
          <a:r>
            <a:rPr lang="fr-FR" sz="1200" b="1" baseline="0">
              <a:solidFill>
                <a:schemeClr val="dk1"/>
              </a:solidFill>
              <a:effectLst/>
              <a:latin typeface="Times New Roman" pitchFamily="18" charset="0"/>
              <a:ea typeface="+mn-ea"/>
              <a:cs typeface="Times New Roman" pitchFamily="18" charset="0"/>
            </a:rPr>
            <a:t>............................................................</a:t>
          </a:r>
        </a:p>
        <a:p>
          <a:r>
            <a:rPr lang="fr-FR" sz="1200" b="1">
              <a:solidFill>
                <a:schemeClr val="dk1"/>
              </a:solidFill>
              <a:effectLst/>
              <a:latin typeface="Times New Roman" pitchFamily="18" charset="0"/>
              <a:ea typeface="+mn-ea"/>
              <a:cs typeface="Times New Roman" pitchFamily="18" charset="0"/>
            </a:rPr>
            <a:t>2-</a:t>
          </a:r>
          <a:r>
            <a:rPr lang="fr-FR" sz="1200" b="1" baseline="0">
              <a:solidFill>
                <a:schemeClr val="dk1"/>
              </a:solidFill>
              <a:effectLst/>
              <a:latin typeface="Times New Roman" pitchFamily="18" charset="0"/>
              <a:ea typeface="+mn-ea"/>
              <a:cs typeface="Times New Roman" pitchFamily="18" charset="0"/>
            </a:rPr>
            <a:t> </a:t>
          </a:r>
          <a:r>
            <a:rPr lang="fr-FR" sz="1200" b="1">
              <a:solidFill>
                <a:schemeClr val="dk1"/>
              </a:solidFill>
              <a:effectLst/>
              <a:latin typeface="Times New Roman" pitchFamily="18" charset="0"/>
              <a:ea typeface="+mn-ea"/>
              <a:cs typeface="Times New Roman" pitchFamily="18" charset="0"/>
            </a:rPr>
            <a:t>RESUTATS DE FIN DE TRIMESTRE</a:t>
          </a:r>
          <a:r>
            <a:rPr lang="fr-FR" sz="1200" b="0">
              <a:solidFill>
                <a:schemeClr val="dk1"/>
              </a:solidFill>
              <a:effectLst/>
              <a:latin typeface="Times New Roman" pitchFamily="18" charset="0"/>
              <a:ea typeface="+mn-ea"/>
              <a:cs typeface="Times New Roman" pitchFamily="18" charset="0"/>
            </a:rPr>
            <a:t>……………………..……..................</a:t>
          </a:r>
        </a:p>
        <a:p>
          <a:r>
            <a:rPr lang="fr-FR" sz="1200" b="1">
              <a:solidFill>
                <a:schemeClr val="dk1"/>
              </a:solidFill>
              <a:effectLst/>
              <a:latin typeface="Times New Roman" pitchFamily="18" charset="0"/>
              <a:ea typeface="+mn-ea"/>
              <a:cs typeface="Times New Roman" pitchFamily="18" charset="0"/>
            </a:rPr>
            <a:t>3. LISTE DES MAJORS DE CLASSE</a:t>
          </a:r>
          <a:r>
            <a:rPr lang="fr-FR" sz="1200">
              <a:solidFill>
                <a:schemeClr val="dk1"/>
              </a:solidFill>
              <a:effectLst/>
              <a:latin typeface="Times New Roman" pitchFamily="18" charset="0"/>
              <a:ea typeface="+mn-ea"/>
              <a:cs typeface="Times New Roman" pitchFamily="18" charset="0"/>
            </a:rPr>
            <a:t>……………….………………………...</a:t>
          </a:r>
        </a:p>
        <a:p>
          <a:endParaRPr lang="fr-FR" sz="1200">
            <a:solidFill>
              <a:schemeClr val="dk1"/>
            </a:solidFill>
            <a:effectLst/>
            <a:latin typeface="Times New Roman" pitchFamily="18" charset="0"/>
            <a:ea typeface="+mn-ea"/>
            <a:cs typeface="Times New Roman" pitchFamily="18" charset="0"/>
          </a:endParaRPr>
        </a:p>
        <a:p>
          <a:r>
            <a:rPr lang="fr-FR" sz="1200" b="1" cap="all">
              <a:solidFill>
                <a:schemeClr val="dk1"/>
              </a:solidFill>
              <a:effectLst/>
              <a:latin typeface="Times New Roman" pitchFamily="18" charset="0"/>
              <a:ea typeface="+mn-ea"/>
              <a:cs typeface="Times New Roman" pitchFamily="18" charset="0"/>
            </a:rPr>
            <a:t>Chapitre II : EFFECTIFS ET PYRAMIDES................................................</a:t>
          </a:r>
          <a:r>
            <a:rPr lang="fr-FR" sz="1200" b="1">
              <a:solidFill>
                <a:schemeClr val="dk1"/>
              </a:solidFill>
              <a:effectLst/>
              <a:latin typeface="Times New Roman" pitchFamily="18" charset="0"/>
              <a:ea typeface="+mn-ea"/>
              <a:cs typeface="Times New Roman" pitchFamily="18" charset="0"/>
            </a:rPr>
            <a:t> </a:t>
          </a:r>
          <a:endParaRPr lang="fr-FR" sz="1200">
            <a:solidFill>
              <a:schemeClr val="dk1"/>
            </a:solidFill>
            <a:effectLst/>
            <a:latin typeface="Times New Roman" pitchFamily="18" charset="0"/>
            <a:ea typeface="+mn-ea"/>
            <a:cs typeface="Times New Roman" pitchFamily="18" charset="0"/>
          </a:endParaRPr>
        </a:p>
        <a:p>
          <a:r>
            <a:rPr lang="fr-FR" sz="1200" b="1">
              <a:solidFill>
                <a:schemeClr val="dk1"/>
              </a:solidFill>
              <a:effectLst/>
              <a:latin typeface="Times New Roman" pitchFamily="18" charset="0"/>
              <a:ea typeface="+mn-ea"/>
              <a:cs typeface="Times New Roman" pitchFamily="18" charset="0"/>
            </a:rPr>
            <a:t>A-  EFFECTIFS ET PYRAMIDES……………………………………………..</a:t>
          </a:r>
        </a:p>
        <a:p>
          <a:r>
            <a:rPr lang="fr-FR" sz="1200" b="1">
              <a:solidFill>
                <a:schemeClr val="dk1"/>
              </a:solidFill>
              <a:effectLst/>
              <a:latin typeface="Times New Roman" pitchFamily="18" charset="0"/>
              <a:ea typeface="+mn-ea"/>
              <a:cs typeface="Times New Roman" pitchFamily="18" charset="0"/>
            </a:rPr>
            <a:t>B-  REPARTITION</a:t>
          </a:r>
          <a:r>
            <a:rPr lang="fr-FR" sz="1200" b="1" baseline="0">
              <a:solidFill>
                <a:schemeClr val="dk1"/>
              </a:solidFill>
              <a:effectLst/>
              <a:latin typeface="Times New Roman" pitchFamily="18" charset="0"/>
              <a:ea typeface="+mn-ea"/>
              <a:cs typeface="Times New Roman" pitchFamily="18" charset="0"/>
            </a:rPr>
            <a:t> DES ELEVES PAR ANNEE DE NAISSANCE</a:t>
          </a:r>
          <a:r>
            <a:rPr lang="fr-FR" sz="1200">
              <a:solidFill>
                <a:schemeClr val="dk1"/>
              </a:solidFill>
              <a:effectLst/>
              <a:latin typeface="Times New Roman" pitchFamily="18" charset="0"/>
              <a:ea typeface="+mn-ea"/>
              <a:cs typeface="Times New Roman" pitchFamily="18" charset="0"/>
            </a:rPr>
            <a:t>………....</a:t>
          </a:r>
        </a:p>
        <a:p>
          <a:endParaRPr lang="fr-FR" sz="1200" b="1">
            <a:solidFill>
              <a:schemeClr val="dk1"/>
            </a:solidFill>
            <a:effectLst/>
            <a:latin typeface="Times New Roman" pitchFamily="18" charset="0"/>
            <a:ea typeface="+mn-ea"/>
            <a:cs typeface="Times New Roman" pitchFamily="18" charset="0"/>
          </a:endParaRPr>
        </a:p>
        <a:p>
          <a:r>
            <a:rPr lang="fr-FR" sz="1200" b="1" cap="all">
              <a:solidFill>
                <a:schemeClr val="dk1"/>
              </a:solidFill>
              <a:effectLst/>
              <a:latin typeface="Times New Roman" pitchFamily="18" charset="0"/>
              <a:ea typeface="+mn-ea"/>
              <a:cs typeface="Times New Roman" pitchFamily="18" charset="0"/>
            </a:rPr>
            <a:t>Chapitre III : PERSONNEL ENSEIGNANT ET ADMINISTRATIF</a:t>
          </a:r>
          <a:r>
            <a:rPr lang="fr-FR" sz="1200" cap="all">
              <a:solidFill>
                <a:schemeClr val="dk1"/>
              </a:solidFill>
              <a:effectLst/>
              <a:latin typeface="Times New Roman" pitchFamily="18" charset="0"/>
              <a:ea typeface="+mn-ea"/>
              <a:cs typeface="Times New Roman" pitchFamily="18" charset="0"/>
            </a:rPr>
            <a:t>……</a:t>
          </a:r>
          <a:endParaRPr lang="fr-FR" sz="1200" b="1">
            <a:solidFill>
              <a:schemeClr val="dk1"/>
            </a:solidFill>
            <a:effectLst/>
            <a:latin typeface="Times New Roman" pitchFamily="18" charset="0"/>
            <a:ea typeface="+mn-ea"/>
            <a:cs typeface="Times New Roman" pitchFamily="18" charset="0"/>
          </a:endParaRPr>
        </a:p>
        <a:p>
          <a:r>
            <a:rPr lang="fr-FR" sz="1200" b="1">
              <a:solidFill>
                <a:schemeClr val="dk1"/>
              </a:solidFill>
              <a:effectLst/>
              <a:latin typeface="Times New Roman" pitchFamily="18" charset="0"/>
              <a:ea typeface="+mn-ea"/>
              <a:cs typeface="Times New Roman" pitchFamily="18" charset="0"/>
            </a:rPr>
            <a:t>  A- ETAT DU PERSONNEL ENSEIGNANT……………………………........</a:t>
          </a:r>
        </a:p>
        <a:p>
          <a:r>
            <a:rPr lang="fr-FR" sz="1200" b="1">
              <a:solidFill>
                <a:schemeClr val="dk1"/>
              </a:solidFill>
              <a:effectLst/>
              <a:latin typeface="Times New Roman" pitchFamily="18" charset="0"/>
              <a:ea typeface="+mn-ea"/>
              <a:cs typeface="Times New Roman" pitchFamily="18" charset="0"/>
            </a:rPr>
            <a:t>  B-  ETAT DU PERSONNEL ADMINISTRATIF……………………….........</a:t>
          </a:r>
        </a:p>
        <a:p>
          <a:r>
            <a:rPr lang="fr-FR" sz="1200" b="1">
              <a:solidFill>
                <a:schemeClr val="dk1"/>
              </a:solidFill>
              <a:effectLst/>
              <a:latin typeface="Times New Roman" pitchFamily="18" charset="0"/>
              <a:ea typeface="+mn-ea"/>
              <a:cs typeface="Times New Roman" pitchFamily="18" charset="0"/>
            </a:rPr>
            <a:t>  C- ETAT DU PERSONNEL DE SERVICES....................................................</a:t>
          </a:r>
        </a:p>
        <a:p>
          <a:endParaRPr lang="fr-FR" sz="1200" b="1" cap="all">
            <a:solidFill>
              <a:schemeClr val="dk1"/>
            </a:solidFill>
            <a:effectLst/>
            <a:latin typeface="Times New Roman" pitchFamily="18" charset="0"/>
            <a:ea typeface="+mn-ea"/>
            <a:cs typeface="Times New Roman" pitchFamily="18" charset="0"/>
          </a:endParaRPr>
        </a:p>
        <a:p>
          <a:r>
            <a:rPr lang="fr-FR" sz="1200" b="1" cap="all">
              <a:solidFill>
                <a:schemeClr val="dk1"/>
              </a:solidFill>
              <a:effectLst/>
              <a:latin typeface="Times New Roman" pitchFamily="18" charset="0"/>
              <a:ea typeface="+mn-ea"/>
              <a:cs typeface="Times New Roman" pitchFamily="18" charset="0"/>
            </a:rPr>
            <a:t>CHAPITRE IV : CAS SOCIAUX</a:t>
          </a:r>
        </a:p>
        <a:p>
          <a:r>
            <a:rPr lang="fr-FR" sz="1200">
              <a:solidFill>
                <a:schemeClr val="dk1"/>
              </a:solidFill>
              <a:effectLst/>
              <a:latin typeface="Times New Roman" pitchFamily="18" charset="0"/>
              <a:ea typeface="+mn-ea"/>
              <a:cs typeface="Times New Roman" pitchFamily="18" charset="0"/>
            </a:rPr>
            <a:t>  </a:t>
          </a:r>
          <a:r>
            <a:rPr lang="fr-FR" sz="1200" b="1">
              <a:solidFill>
                <a:schemeClr val="dk1"/>
              </a:solidFill>
              <a:effectLst/>
              <a:latin typeface="Times New Roman" pitchFamily="18" charset="0"/>
              <a:ea typeface="+mn-ea"/>
              <a:cs typeface="Times New Roman" pitchFamily="18" charset="0"/>
            </a:rPr>
            <a:t>A- CAS DE GROSSESSE ....................................................................................</a:t>
          </a:r>
        </a:p>
        <a:p>
          <a:r>
            <a:rPr lang="fr-FR" sz="1200" b="1">
              <a:solidFill>
                <a:schemeClr val="dk1"/>
              </a:solidFill>
              <a:effectLst/>
              <a:latin typeface="Times New Roman" pitchFamily="18" charset="0"/>
              <a:ea typeface="+mn-ea"/>
              <a:cs typeface="Times New Roman" pitchFamily="18" charset="0"/>
            </a:rPr>
            <a:t>  B- CAS D'HANDICAPS ...................................................................................... </a:t>
          </a:r>
        </a:p>
        <a:p>
          <a:pPr algn="l"/>
          <a:r>
            <a:rPr lang="fr-FR" sz="1200" b="1">
              <a:solidFill>
                <a:schemeClr val="dk1"/>
              </a:solidFill>
              <a:effectLst/>
              <a:latin typeface="Times New Roman" pitchFamily="18" charset="0"/>
              <a:ea typeface="+mn-ea"/>
              <a:cs typeface="Times New Roman" pitchFamily="18" charset="0"/>
            </a:rPr>
            <a:t>  C- CAS DE MALADIE…………………………………………………….........</a:t>
          </a:r>
          <a:endParaRPr lang="fr-FR" sz="1200" b="1" baseline="0">
            <a:solidFill>
              <a:schemeClr val="dk1"/>
            </a:solidFill>
            <a:effectLst/>
            <a:latin typeface="Times New Roman" pitchFamily="18" charset="0"/>
            <a:ea typeface="+mn-ea"/>
            <a:cs typeface="Times New Roman" pitchFamily="18" charset="0"/>
          </a:endParaRPr>
        </a:p>
        <a:p>
          <a:pPr algn="l"/>
          <a:r>
            <a:rPr lang="fr-FR" sz="1200" b="1" baseline="0">
              <a:solidFill>
                <a:schemeClr val="dk1"/>
              </a:solidFill>
              <a:effectLst/>
              <a:latin typeface="Times New Roman" pitchFamily="18" charset="0"/>
              <a:ea typeface="+mn-ea"/>
              <a:cs typeface="Times New Roman" pitchFamily="18" charset="0"/>
            </a:rPr>
            <a:t>  D- CAS D'ABANDONS.........................................................................................</a:t>
          </a:r>
        </a:p>
        <a:p>
          <a:pPr algn="l"/>
          <a:r>
            <a:rPr lang="fr-FR" sz="1200" b="1" baseline="0">
              <a:solidFill>
                <a:schemeClr val="dk1"/>
              </a:solidFill>
              <a:effectLst/>
              <a:latin typeface="Times New Roman" pitchFamily="18" charset="0"/>
              <a:ea typeface="+mn-ea"/>
              <a:cs typeface="Times New Roman" pitchFamily="18" charset="0"/>
            </a:rPr>
            <a:t>  E- CAS DE DECES</a:t>
          </a:r>
          <a:r>
            <a:rPr lang="fr-FR" sz="1200">
              <a:solidFill>
                <a:schemeClr val="dk1"/>
              </a:solidFill>
              <a:effectLst/>
              <a:latin typeface="Times New Roman" pitchFamily="18" charset="0"/>
              <a:ea typeface="+mn-ea"/>
              <a:cs typeface="Times New Roman" pitchFamily="18" charset="0"/>
            </a:rPr>
            <a:t>………………………………………………………………</a:t>
          </a:r>
        </a:p>
        <a:p>
          <a:pPr algn="l"/>
          <a:endParaRPr lang="fr-FR" sz="1200">
            <a:solidFill>
              <a:schemeClr val="dk1"/>
            </a:solidFill>
            <a:effectLst/>
            <a:latin typeface="Times New Roman" pitchFamily="18" charset="0"/>
            <a:ea typeface="+mn-ea"/>
            <a:cs typeface="Times New Roman" pitchFamily="18" charset="0"/>
          </a:endParaRPr>
        </a:p>
        <a:p>
          <a:r>
            <a:rPr lang="fr-FR" sz="1200" b="1" cap="all">
              <a:solidFill>
                <a:schemeClr val="dk1"/>
              </a:solidFill>
              <a:effectLst/>
              <a:latin typeface="Times New Roman" pitchFamily="18" charset="0"/>
              <a:ea typeface="+mn-ea"/>
              <a:cs typeface="Times New Roman" pitchFamily="18" charset="0"/>
            </a:rPr>
            <a:t>CONCLUSION</a:t>
          </a:r>
          <a:r>
            <a:rPr lang="fr-FR" sz="1200" cap="all">
              <a:solidFill>
                <a:schemeClr val="dk1"/>
              </a:solidFill>
              <a:effectLst/>
              <a:latin typeface="Times New Roman" pitchFamily="18" charset="0"/>
              <a:ea typeface="+mn-ea"/>
              <a:cs typeface="Times New Roman" pitchFamily="18" charset="0"/>
            </a:rPr>
            <a:t>………………………………………………….............................</a:t>
          </a:r>
          <a:r>
            <a:rPr lang="fr-FR" sz="1200" b="1">
              <a:solidFill>
                <a:schemeClr val="dk1"/>
              </a:solidFill>
              <a:effectLst/>
              <a:latin typeface="Times New Roman" pitchFamily="18" charset="0"/>
              <a:ea typeface="+mn-ea"/>
              <a:cs typeface="Times New Roman" pitchFamily="18" charset="0"/>
            </a:rPr>
            <a:t> </a:t>
          </a:r>
          <a:endParaRPr lang="fr-FR" sz="1100">
            <a:solidFill>
              <a:schemeClr val="dk1"/>
            </a:solidFill>
            <a:effectLst/>
            <a:latin typeface="Times New Roman" pitchFamily="18" charset="0"/>
            <a:ea typeface="+mn-ea"/>
            <a:cs typeface="Times New Roman" pitchFamily="18" charset="0"/>
          </a:endParaRPr>
        </a:p>
        <a:p>
          <a:endParaRPr lang="fr-FR" sz="1100">
            <a:solidFill>
              <a:schemeClr val="dk1"/>
            </a:solidFill>
            <a:effectLst/>
            <a:latin typeface="Times New Roman" pitchFamily="18" charset="0"/>
            <a:ea typeface="+mn-ea"/>
            <a:cs typeface="Times New Roman" pitchFamily="18" charset="0"/>
          </a:endParaRPr>
        </a:p>
        <a:p>
          <a:endParaRPr lang="fr-FR"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2</xdr:row>
      <xdr:rowOff>171449</xdr:rowOff>
    </xdr:from>
    <xdr:to>
      <xdr:col>9</xdr:col>
      <xdr:colOff>742950</xdr:colOff>
      <xdr:row>31</xdr:row>
      <xdr:rowOff>180974</xdr:rowOff>
    </xdr:to>
    <xdr:sp macro="" textlink="">
      <xdr:nvSpPr>
        <xdr:cNvPr id="2" name="ZoneTexte 1">
          <a:extLst>
            <a:ext uri="{FF2B5EF4-FFF2-40B4-BE49-F238E27FC236}">
              <a16:creationId xmlns:a16="http://schemas.microsoft.com/office/drawing/2014/main" id="{ED5B01E7-D229-6D20-24CC-0155601EA1C7}"/>
            </a:ext>
          </a:extLst>
        </xdr:cNvPr>
        <xdr:cNvSpPr txBox="1"/>
      </xdr:nvSpPr>
      <xdr:spPr>
        <a:xfrm>
          <a:off x="9525" y="761999"/>
          <a:ext cx="7591425" cy="5572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CI" sz="2000">
              <a:solidFill>
                <a:schemeClr val="dk1"/>
              </a:solidFill>
              <a:effectLst/>
              <a:latin typeface="Times New Roman" panose="02020603050405020304" pitchFamily="18" charset="0"/>
              <a:ea typeface="+mn-ea"/>
              <a:cs typeface="Times New Roman" panose="02020603050405020304" pitchFamily="18" charset="0"/>
            </a:rPr>
            <a:t>La rentrée scolaire </a:t>
          </a:r>
          <a:r>
            <a:rPr lang="fr-CI" sz="2000" b="1">
              <a:solidFill>
                <a:schemeClr val="dk1"/>
              </a:solidFill>
              <a:effectLst/>
              <a:latin typeface="Times New Roman" panose="02020603050405020304" pitchFamily="18" charset="0"/>
              <a:ea typeface="+mn-ea"/>
              <a:cs typeface="Times New Roman" panose="02020603050405020304" pitchFamily="18" charset="0"/>
            </a:rPr>
            <a:t>2025-2026</a:t>
          </a:r>
          <a:r>
            <a:rPr lang="fr-CI" sz="2000">
              <a:solidFill>
                <a:schemeClr val="dk1"/>
              </a:solidFill>
              <a:effectLst/>
              <a:latin typeface="Times New Roman" panose="02020603050405020304" pitchFamily="18" charset="0"/>
              <a:ea typeface="+mn-ea"/>
              <a:cs typeface="Times New Roman" panose="02020603050405020304" pitchFamily="18" charset="0"/>
            </a:rPr>
            <a:t> a été fixé par le gouvernement ivoirien au </a:t>
          </a:r>
          <a:r>
            <a:rPr lang="fr-CI" sz="2000" b="1">
              <a:solidFill>
                <a:schemeClr val="dk1"/>
              </a:solidFill>
              <a:effectLst/>
              <a:latin typeface="Times New Roman" panose="02020603050405020304" pitchFamily="18" charset="0"/>
              <a:ea typeface="+mn-ea"/>
              <a:cs typeface="Times New Roman" panose="02020603050405020304" pitchFamily="18" charset="0"/>
            </a:rPr>
            <a:t>lundi 8 septembre 2026</a:t>
          </a:r>
          <a:r>
            <a:rPr lang="fr-CI" sz="2000">
              <a:solidFill>
                <a:schemeClr val="dk1"/>
              </a:solidFill>
              <a:effectLst/>
              <a:latin typeface="Times New Roman" panose="02020603050405020304" pitchFamily="18" charset="0"/>
              <a:ea typeface="+mn-ea"/>
              <a:cs typeface="Times New Roman" panose="02020603050405020304" pitchFamily="18" charset="0"/>
            </a:rPr>
            <a:t>. </a:t>
          </a:r>
        </a:p>
        <a:p>
          <a:pPr algn="l"/>
          <a:r>
            <a:rPr lang="fr-CI" sz="2000">
              <a:solidFill>
                <a:schemeClr val="dk1"/>
              </a:solidFill>
              <a:effectLst/>
              <a:latin typeface="Times New Roman" panose="02020603050405020304" pitchFamily="18" charset="0"/>
              <a:ea typeface="+mn-ea"/>
              <a:cs typeface="Times New Roman" panose="02020603050405020304" pitchFamily="18" charset="0"/>
            </a:rPr>
            <a:t>Le collège Privé Confessionnel Hinneh de Katiofi-Korhogo se voulant un établissement respectueux des décisions gouvernementales, a débuté les cours à cette date au compte de l'année 2025 2026. Les activités académiques ont été menées depuis lors jusqu'au </a:t>
          </a:r>
          <a:r>
            <a:rPr lang="fr-CI" sz="2000" b="1">
              <a:solidFill>
                <a:schemeClr val="dk1"/>
              </a:solidFill>
              <a:effectLst/>
              <a:latin typeface="Times New Roman" panose="02020603050405020304" pitchFamily="18" charset="0"/>
              <a:ea typeface="+mn-ea"/>
              <a:cs typeface="Times New Roman" panose="02020603050405020304" pitchFamily="18" charset="0"/>
            </a:rPr>
            <a:t>28 novembre 2025</a:t>
          </a:r>
          <a:r>
            <a:rPr lang="fr-CI" sz="2000">
              <a:solidFill>
                <a:schemeClr val="dk1"/>
              </a:solidFill>
              <a:effectLst/>
              <a:latin typeface="Times New Roman" panose="02020603050405020304" pitchFamily="18" charset="0"/>
              <a:ea typeface="+mn-ea"/>
              <a:cs typeface="Times New Roman" panose="02020603050405020304" pitchFamily="18" charset="0"/>
            </a:rPr>
            <a:t> date marquant la fin du premier trimestre. Qui dit fin de trimestre dit résultats scolaires. Ils constituent un baromètre pour le trimestre quant à sa réussite.</a:t>
          </a:r>
        </a:p>
        <a:p>
          <a:pPr algn="l"/>
          <a:r>
            <a:rPr lang="fr-CI" sz="2000">
              <a:solidFill>
                <a:schemeClr val="dk1"/>
              </a:solidFill>
              <a:effectLst/>
              <a:latin typeface="Times New Roman" panose="02020603050405020304" pitchFamily="18" charset="0"/>
              <a:ea typeface="+mn-ea"/>
              <a:cs typeface="Times New Roman" panose="02020603050405020304" pitchFamily="18" charset="0"/>
            </a:rPr>
            <a:t>Alors quels sont les résultats scolaires obtenus à l'issue de ce premier trimestre ? A-t-il été une réussite ?</a:t>
          </a:r>
        </a:p>
        <a:p>
          <a:pPr algn="l"/>
          <a:r>
            <a:rPr lang="fr-CI" sz="2000">
              <a:solidFill>
                <a:schemeClr val="dk1"/>
              </a:solidFill>
              <a:effectLst/>
              <a:latin typeface="Times New Roman" panose="02020603050405020304" pitchFamily="18" charset="0"/>
              <a:ea typeface="+mn-ea"/>
              <a:cs typeface="Times New Roman" panose="02020603050405020304" pitchFamily="18" charset="0"/>
            </a:rPr>
            <a:t> Pour répondre à ses préoccupations il serait intéressant de se pencher d'abord sur les activités en amont des résultats scolaires, puis s'intéresser aux autres axes qui ont meublé le trimestre. </a:t>
          </a:r>
        </a:p>
        <a:p>
          <a:pPr algn="l"/>
          <a:r>
            <a:rPr lang="fr-CI" sz="2000">
              <a:solidFill>
                <a:schemeClr val="dk1"/>
              </a:solidFill>
              <a:effectLst/>
              <a:latin typeface="Times New Roman" panose="02020603050405020304" pitchFamily="18" charset="0"/>
              <a:ea typeface="+mn-ea"/>
              <a:cs typeface="Times New Roman" panose="02020603050405020304" pitchFamily="18" charset="0"/>
            </a:rPr>
            <a:t>Ainsi le présent rapport établira le bilan de ce premier trimestre à travers ses axes successifs que seront : vie pédagogique et résultats scolaires, effectifs et pyramides, personnel enseignant et administratif, que les cas sociaux.</a:t>
          </a:r>
        </a:p>
        <a:p>
          <a:endParaRPr lang="fr-CI"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133351</xdr:rowOff>
    </xdr:from>
    <xdr:to>
      <xdr:col>10</xdr:col>
      <xdr:colOff>0</xdr:colOff>
      <xdr:row>33</xdr:row>
      <xdr:rowOff>180975</xdr:rowOff>
    </xdr:to>
    <xdr:sp macro="" textlink="">
      <xdr:nvSpPr>
        <xdr:cNvPr id="2" name="ZoneTexte 1">
          <a:extLst>
            <a:ext uri="{FF2B5EF4-FFF2-40B4-BE49-F238E27FC236}">
              <a16:creationId xmlns:a16="http://schemas.microsoft.com/office/drawing/2014/main" id="{73949D54-2ECD-FD81-9772-03748F861730}"/>
            </a:ext>
          </a:extLst>
        </xdr:cNvPr>
        <xdr:cNvSpPr txBox="1"/>
      </xdr:nvSpPr>
      <xdr:spPr>
        <a:xfrm>
          <a:off x="0" y="361951"/>
          <a:ext cx="7620000" cy="61436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CI" sz="2400">
              <a:solidFill>
                <a:schemeClr val="dk1"/>
              </a:solidFill>
              <a:effectLst/>
              <a:latin typeface="Times New Roman" panose="02020603050405020304" pitchFamily="18" charset="0"/>
              <a:ea typeface="+mn-ea"/>
              <a:cs typeface="Times New Roman" panose="02020603050405020304" pitchFamily="18" charset="0"/>
            </a:rPr>
            <a:t>En somme, le premier trimestre </a:t>
          </a:r>
          <a:r>
            <a:rPr lang="fr-CI" sz="2400" b="1">
              <a:solidFill>
                <a:schemeClr val="dk1"/>
              </a:solidFill>
              <a:effectLst/>
              <a:latin typeface="Times New Roman" panose="02020603050405020304" pitchFamily="18" charset="0"/>
              <a:ea typeface="+mn-ea"/>
              <a:cs typeface="Times New Roman" panose="02020603050405020304" pitchFamily="18" charset="0"/>
            </a:rPr>
            <a:t>2025-2026 </a:t>
          </a:r>
          <a:r>
            <a:rPr lang="fr-CI" sz="2400">
              <a:solidFill>
                <a:schemeClr val="dk1"/>
              </a:solidFill>
              <a:effectLst/>
              <a:latin typeface="Times New Roman" panose="02020603050405020304" pitchFamily="18" charset="0"/>
              <a:ea typeface="+mn-ea"/>
              <a:cs typeface="Times New Roman" panose="02020603050405020304" pitchFamily="18" charset="0"/>
            </a:rPr>
            <a:t>au Collège Privé Confessionnel HINNEH de KATIOFI-Korhogo s'est déroulé allègrement. Cette atmosphère sereine a permis l'exécution de toutes les activités académiques programmées. Ce, aussi bien au plan administratif qu'au plan pédagogique. Dès lors, les résultats scolaires ne peuvent qu'être le reflet de ces bonnes conditions. Ainsi, le taux de réussite de ce premier trimestre s'est situé à 94 %.  Sans coup férir, nous pouvons avancer que le premier trimestre 2025-2026 au Collège Privé Confessionnel HÎNNEH a été une réussite.</a:t>
          </a:r>
        </a:p>
        <a:p>
          <a:r>
            <a:rPr lang="fr-CI" sz="2400">
              <a:solidFill>
                <a:schemeClr val="dk1"/>
              </a:solidFill>
              <a:effectLst/>
              <a:latin typeface="Times New Roman" panose="02020603050405020304" pitchFamily="18" charset="0"/>
              <a:ea typeface="+mn-ea"/>
              <a:cs typeface="Times New Roman" panose="02020603050405020304" pitchFamily="18" charset="0"/>
            </a:rPr>
            <a:t>Toutefois, des efforts seront faits pour atteindre le taux de 100 %.</a:t>
          </a:r>
        </a:p>
        <a:p>
          <a:endParaRPr lang="fr-CI" sz="1400">
            <a:latin typeface="Times New Roman" panose="02020603050405020304" pitchFamily="18"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enovo\Desktop\CANEVAS%20DU%20RAPPORT%20PREMIER%20TRIMESTRE%20%202025-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DE GARDE"/>
      <sheetName val="SOMMAIRE"/>
      <sheetName val="INTRODUCTION"/>
      <sheetName val="VIE PEDAGOGIQUE"/>
      <sheetName val="VISITES DE CLASSES"/>
      <sheetName val="Feuil1"/>
      <sheetName val="Feuil2"/>
      <sheetName val="Feuil3"/>
      <sheetName val="Feuil4"/>
      <sheetName val="Feuil5"/>
      <sheetName val="FORMATIONS"/>
      <sheetName val="NOMBRE D'ELEVES PAR NIVEAU"/>
      <sheetName val="RESULTATS SCOLAIRES"/>
      <sheetName val="LISTE DES MAJORS"/>
      <sheetName val="Feuil6"/>
      <sheetName val="EFFECTIFS ET PYRAMIDES"/>
      <sheetName val="REPARTITION ELEVE PAR NAISSANCE"/>
      <sheetName val="ETAT DU PERSONNEL ENSEIGNANT"/>
      <sheetName val="ETAT DU PERSONNEL ADMINISTRATIF"/>
      <sheetName val="ETAT PERSONNEL DE SERVICE"/>
      <sheetName val="CAS SOCIAUX"/>
      <sheetName val="CONCLU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38:K38"/>
  <sheetViews>
    <sheetView topLeftCell="A3" zoomScaleNormal="100" workbookViewId="0">
      <selection activeCell="K38" sqref="K38:K39"/>
    </sheetView>
  </sheetViews>
  <sheetFormatPr baseColWidth="10" defaultRowHeight="15" x14ac:dyDescent="0.25"/>
  <cols>
    <col min="1" max="9" width="11.42578125" style="272"/>
  </cols>
  <sheetData>
    <row r="38" spans="11:11" x14ac:dyDescent="0.25">
      <c r="K38" t="s">
        <v>305</v>
      </c>
    </row>
  </sheetData>
  <printOptions horizontalCentered="1" verticalCentered="1"/>
  <pageMargins left="0.70866141732283472" right="0.70866141732283472" top="0.55118110236220474" bottom="0.74803149606299213" header="0.31496062992125984" footer="0.31496062992125984"/>
  <pageSetup paperSize="9" scale="95" orientation="landscape"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
  <sheetViews>
    <sheetView topLeftCell="A10" zoomScaleNormal="100" workbookViewId="0">
      <selection activeCell="F38" sqref="F38"/>
    </sheetView>
  </sheetViews>
  <sheetFormatPr baseColWidth="10" defaultRowHeight="15" x14ac:dyDescent="0.25"/>
  <sheetData/>
  <printOptions horizontalCentered="1" verticalCentered="1"/>
  <pageMargins left="0.70866141732283472" right="0.70866141732283472" top="0.55118110236220474" bottom="0.74803149606299213" header="0.31496062992125984" footer="0.31496062992125984"/>
  <pageSetup paperSize="9" scale="95" orientation="landscape"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2"/>
  <sheetViews>
    <sheetView tabSelected="1" workbookViewId="0">
      <selection activeCell="C1" sqref="C1"/>
    </sheetView>
  </sheetViews>
  <sheetFormatPr baseColWidth="10" defaultRowHeight="15" x14ac:dyDescent="0.25"/>
  <sheetData>
    <row r="1" spans="3:5" ht="31.5" x14ac:dyDescent="0.5">
      <c r="C1" s="273" t="s">
        <v>102</v>
      </c>
      <c r="D1" s="274"/>
      <c r="E1" s="274"/>
    </row>
    <row r="17" spans="1:1" ht="18" x14ac:dyDescent="0.25">
      <c r="A17" s="167"/>
    </row>
    <row r="32" spans="1:1" ht="18" x14ac:dyDescent="0.25">
      <c r="A32" s="167"/>
    </row>
  </sheetData>
  <pageMargins left="0.70866141732283472" right="0.70866141732283472" top="0.74803149606299213" bottom="0.74803149606299213" header="0.31496062992125984" footer="0.31496062992125984"/>
  <pageSetup paperSize="9" orientation="landscape" horizontalDpi="4294967292" r:id="rId1"/>
  <headerFooter>
    <oddFooter>&amp;CSYNTHESE DES RAPPORTS DU PREMIER TRIMESTRE 2025-2026                         DRENA FERKESSEDOUGOU</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K66"/>
  <sheetViews>
    <sheetView workbookViewId="0">
      <selection activeCell="J10" sqref="J10"/>
    </sheetView>
  </sheetViews>
  <sheetFormatPr baseColWidth="10" defaultRowHeight="15" x14ac:dyDescent="0.25"/>
  <cols>
    <col min="2" max="2" width="6.85546875" customWidth="1"/>
    <col min="3" max="3" width="40.85546875" customWidth="1"/>
    <col min="4" max="4" width="7.140625" bestFit="1" customWidth="1"/>
    <col min="5" max="5" width="34.85546875" customWidth="1"/>
    <col min="6" max="6" width="7.140625" style="259" bestFit="1" customWidth="1"/>
  </cols>
  <sheetData>
    <row r="1" spans="1:8" ht="18.75" x14ac:dyDescent="0.25">
      <c r="B1" s="52" t="s">
        <v>41</v>
      </c>
      <c r="C1" s="36"/>
      <c r="D1" s="36"/>
      <c r="E1" s="36"/>
      <c r="F1" s="375"/>
      <c r="G1" s="36"/>
      <c r="H1" s="36"/>
    </row>
    <row r="2" spans="1:8" ht="15.75" x14ac:dyDescent="0.25">
      <c r="B2" s="53"/>
      <c r="C2" s="36"/>
      <c r="D2" s="36"/>
      <c r="E2" s="36"/>
      <c r="F2" s="375"/>
      <c r="G2" s="36"/>
      <c r="H2" s="36"/>
    </row>
    <row r="3" spans="1:8" x14ac:dyDescent="0.25">
      <c r="B3" s="51" t="s">
        <v>42</v>
      </c>
      <c r="C3" s="36"/>
      <c r="D3" s="36"/>
      <c r="E3" s="36"/>
      <c r="F3" s="375"/>
      <c r="G3" s="36"/>
      <c r="H3" s="36"/>
    </row>
    <row r="4" spans="1:8" x14ac:dyDescent="0.25">
      <c r="B4" s="54"/>
      <c r="C4" s="36"/>
      <c r="D4" s="36"/>
      <c r="E4" s="36"/>
      <c r="F4" s="375"/>
      <c r="G4" s="36"/>
      <c r="H4" s="36"/>
    </row>
    <row r="5" spans="1:8" ht="15.75" x14ac:dyDescent="0.25">
      <c r="B5" s="55" t="s">
        <v>117</v>
      </c>
      <c r="C5" s="36"/>
      <c r="D5" s="36"/>
      <c r="E5" s="36"/>
      <c r="F5" s="375"/>
      <c r="G5" s="36"/>
      <c r="H5" s="36"/>
    </row>
    <row r="6" spans="1:8" ht="18" x14ac:dyDescent="0.25">
      <c r="A6" s="167"/>
      <c r="B6" s="60" t="s">
        <v>43</v>
      </c>
      <c r="C6" s="60" t="s">
        <v>215</v>
      </c>
      <c r="D6" s="60" t="s">
        <v>1</v>
      </c>
      <c r="E6" s="60" t="s">
        <v>216</v>
      </c>
      <c r="F6" s="60" t="s">
        <v>1</v>
      </c>
    </row>
    <row r="7" spans="1:8" ht="16.5" thickBot="1" x14ac:dyDescent="0.3">
      <c r="B7" s="60">
        <v>1</v>
      </c>
      <c r="C7" s="251" t="s">
        <v>217</v>
      </c>
      <c r="D7" s="252">
        <v>2</v>
      </c>
      <c r="E7" s="251" t="s">
        <v>217</v>
      </c>
      <c r="F7" s="250">
        <v>2</v>
      </c>
    </row>
    <row r="8" spans="1:8" ht="32.25" thickBot="1" x14ac:dyDescent="0.3">
      <c r="B8" s="60">
        <v>2</v>
      </c>
      <c r="C8" s="253" t="s">
        <v>218</v>
      </c>
      <c r="D8" s="252">
        <v>2</v>
      </c>
      <c r="E8" s="253" t="s">
        <v>218</v>
      </c>
      <c r="F8" s="250">
        <v>5</v>
      </c>
      <c r="G8" s="36"/>
      <c r="H8" s="36"/>
    </row>
    <row r="9" spans="1:8" ht="48" thickBot="1" x14ac:dyDescent="0.3">
      <c r="B9" s="60">
        <v>3</v>
      </c>
      <c r="C9" s="253" t="s">
        <v>219</v>
      </c>
      <c r="D9" s="252">
        <v>1</v>
      </c>
      <c r="E9" s="253" t="s">
        <v>219</v>
      </c>
      <c r="F9" s="250">
        <v>1</v>
      </c>
      <c r="G9" s="36"/>
      <c r="H9" s="36"/>
    </row>
    <row r="10" spans="1:8" ht="32.25" thickBot="1" x14ac:dyDescent="0.3">
      <c r="B10" s="60">
        <v>4</v>
      </c>
      <c r="C10" s="253" t="s">
        <v>220</v>
      </c>
      <c r="D10" s="252">
        <v>0</v>
      </c>
      <c r="E10" s="253" t="s">
        <v>220</v>
      </c>
      <c r="F10" s="250">
        <v>4</v>
      </c>
      <c r="G10" s="36"/>
      <c r="H10" s="36"/>
    </row>
    <row r="11" spans="1:8" ht="16.5" thickBot="1" x14ac:dyDescent="0.3">
      <c r="B11" s="60">
        <v>5</v>
      </c>
      <c r="C11" s="253" t="s">
        <v>221</v>
      </c>
      <c r="D11" s="252">
        <v>0</v>
      </c>
      <c r="E11" s="253" t="s">
        <v>221</v>
      </c>
      <c r="F11" s="250">
        <v>0</v>
      </c>
      <c r="G11" s="36"/>
      <c r="H11" s="36"/>
    </row>
    <row r="12" spans="1:8" ht="16.5" thickBot="1" x14ac:dyDescent="0.3">
      <c r="B12" s="60">
        <v>6</v>
      </c>
      <c r="C12" s="253" t="s">
        <v>222</v>
      </c>
      <c r="D12" s="252">
        <v>5</v>
      </c>
      <c r="E12" s="253" t="s">
        <v>222</v>
      </c>
      <c r="F12" s="250">
        <v>6</v>
      </c>
      <c r="G12" s="36"/>
      <c r="H12" s="36"/>
    </row>
    <row r="13" spans="1:8" ht="32.25" thickBot="1" x14ac:dyDescent="0.3">
      <c r="B13" s="60">
        <v>7</v>
      </c>
      <c r="C13" s="253" t="s">
        <v>223</v>
      </c>
      <c r="D13" s="252">
        <v>1</v>
      </c>
      <c r="E13" s="253" t="s">
        <v>223</v>
      </c>
      <c r="F13" s="250">
        <v>2</v>
      </c>
      <c r="G13" s="36"/>
      <c r="H13" s="36"/>
    </row>
    <row r="14" spans="1:8" ht="16.5" thickBot="1" x14ac:dyDescent="0.3">
      <c r="B14" s="60">
        <v>8</v>
      </c>
      <c r="C14" s="253" t="s">
        <v>224</v>
      </c>
      <c r="D14" s="252">
        <v>4</v>
      </c>
      <c r="E14" s="253" t="s">
        <v>224</v>
      </c>
      <c r="F14" s="250">
        <v>5</v>
      </c>
      <c r="G14" s="36"/>
      <c r="H14" s="36"/>
    </row>
    <row r="15" spans="1:8" ht="16.5" thickBot="1" x14ac:dyDescent="0.3">
      <c r="B15" s="60">
        <v>9</v>
      </c>
      <c r="C15" s="253" t="s">
        <v>225</v>
      </c>
      <c r="D15" s="252">
        <v>0</v>
      </c>
      <c r="E15" s="253" t="s">
        <v>225</v>
      </c>
      <c r="F15" s="250">
        <v>0</v>
      </c>
      <c r="G15" s="36"/>
      <c r="H15" s="36"/>
    </row>
    <row r="16" spans="1:8" ht="16.5" thickBot="1" x14ac:dyDescent="0.3">
      <c r="B16" s="60">
        <v>10</v>
      </c>
      <c r="C16" s="253" t="s">
        <v>226</v>
      </c>
      <c r="D16" s="252">
        <v>0</v>
      </c>
      <c r="E16" s="253" t="s">
        <v>226</v>
      </c>
      <c r="F16" s="250">
        <v>0</v>
      </c>
      <c r="G16" s="36"/>
      <c r="H16" s="36"/>
    </row>
    <row r="17" spans="1:8" ht="16.5" thickBot="1" x14ac:dyDescent="0.3">
      <c r="B17" s="60">
        <v>11</v>
      </c>
      <c r="C17" s="253" t="s">
        <v>227</v>
      </c>
      <c r="D17" s="252">
        <v>5</v>
      </c>
      <c r="E17" s="253" t="s">
        <v>227</v>
      </c>
      <c r="F17" s="250">
        <v>6</v>
      </c>
      <c r="G17" s="36"/>
      <c r="H17" s="36"/>
    </row>
    <row r="18" spans="1:8" ht="18.75" thickBot="1" x14ac:dyDescent="0.3">
      <c r="A18" s="167"/>
      <c r="B18" s="60">
        <v>12</v>
      </c>
      <c r="C18" s="253" t="s">
        <v>228</v>
      </c>
      <c r="D18" s="252">
        <v>2</v>
      </c>
      <c r="E18" s="253" t="s">
        <v>228</v>
      </c>
      <c r="F18" s="250">
        <v>2</v>
      </c>
    </row>
    <row r="19" spans="1:8" ht="16.5" thickBot="1" x14ac:dyDescent="0.3">
      <c r="B19" s="60">
        <v>3</v>
      </c>
      <c r="C19" s="253" t="s">
        <v>229</v>
      </c>
      <c r="D19" s="252">
        <v>1</v>
      </c>
      <c r="E19" s="253" t="s">
        <v>229</v>
      </c>
      <c r="F19" s="250">
        <v>5</v>
      </c>
      <c r="G19" s="36"/>
      <c r="H19" s="36"/>
    </row>
    <row r="20" spans="1:8" ht="16.5" thickBot="1" x14ac:dyDescent="0.3">
      <c r="B20" s="60">
        <v>14</v>
      </c>
      <c r="C20" s="253" t="s">
        <v>230</v>
      </c>
      <c r="D20" s="252">
        <v>3</v>
      </c>
      <c r="E20" s="253" t="s">
        <v>230</v>
      </c>
      <c r="F20" s="250">
        <v>6</v>
      </c>
      <c r="G20" s="36"/>
      <c r="H20" s="36"/>
    </row>
    <row r="21" spans="1:8" ht="16.5" thickBot="1" x14ac:dyDescent="0.3">
      <c r="B21" s="60">
        <v>15</v>
      </c>
      <c r="C21" s="253" t="s">
        <v>231</v>
      </c>
      <c r="D21" s="252">
        <v>5</v>
      </c>
      <c r="E21" s="253" t="s">
        <v>231</v>
      </c>
      <c r="F21" s="250">
        <v>6</v>
      </c>
      <c r="G21" s="36"/>
      <c r="H21" s="36"/>
    </row>
    <row r="22" spans="1:8" ht="32.25" thickBot="1" x14ac:dyDescent="0.3">
      <c r="B22" s="60">
        <v>16</v>
      </c>
      <c r="C22" s="253" t="s">
        <v>232</v>
      </c>
      <c r="D22" s="252">
        <v>5</v>
      </c>
      <c r="E22" s="253" t="s">
        <v>232</v>
      </c>
      <c r="F22" s="250">
        <v>6</v>
      </c>
      <c r="G22" s="36"/>
      <c r="H22" s="36"/>
    </row>
    <row r="23" spans="1:8" ht="16.5" thickBot="1" x14ac:dyDescent="0.3">
      <c r="B23" s="60">
        <v>17</v>
      </c>
      <c r="C23" s="253" t="s">
        <v>233</v>
      </c>
      <c r="D23" s="252">
        <v>0</v>
      </c>
      <c r="E23" s="253" t="s">
        <v>233</v>
      </c>
      <c r="F23" s="250">
        <v>0</v>
      </c>
      <c r="G23" s="36"/>
      <c r="H23" s="36"/>
    </row>
    <row r="24" spans="1:8" ht="15.75" x14ac:dyDescent="0.25">
      <c r="B24" s="60">
        <v>18</v>
      </c>
      <c r="C24" s="253" t="s">
        <v>169</v>
      </c>
      <c r="D24" s="252">
        <v>1</v>
      </c>
      <c r="E24" s="253" t="s">
        <v>169</v>
      </c>
      <c r="F24" s="250">
        <v>1</v>
      </c>
      <c r="G24" s="36"/>
      <c r="H24" s="36"/>
    </row>
    <row r="25" spans="1:8" x14ac:dyDescent="0.25">
      <c r="B25" s="282" t="s">
        <v>17</v>
      </c>
      <c r="C25" s="282"/>
      <c r="D25" s="249">
        <f>+SUM(D7:D24)</f>
        <v>37</v>
      </c>
      <c r="E25" s="250" t="s">
        <v>17</v>
      </c>
      <c r="F25" s="250">
        <f>SUM(F7:F24)</f>
        <v>57</v>
      </c>
    </row>
    <row r="29" spans="1:8" x14ac:dyDescent="0.25">
      <c r="C29" s="3"/>
    </row>
    <row r="30" spans="1:8" x14ac:dyDescent="0.25">
      <c r="C30" s="3"/>
    </row>
    <row r="31" spans="1:8" x14ac:dyDescent="0.25">
      <c r="C31" s="3"/>
    </row>
    <row r="32" spans="1:8" x14ac:dyDescent="0.25">
      <c r="C32" s="3"/>
    </row>
    <row r="33" spans="3:3" x14ac:dyDescent="0.25">
      <c r="C33" s="3"/>
    </row>
    <row r="34" spans="3:3" x14ac:dyDescent="0.25">
      <c r="C34" s="3"/>
    </row>
    <row r="35" spans="3:3" x14ac:dyDescent="0.25">
      <c r="C35" s="3"/>
    </row>
    <row r="43" spans="3:3" ht="18" x14ac:dyDescent="0.25">
      <c r="C43" s="7"/>
    </row>
    <row r="44" spans="3:3" x14ac:dyDescent="0.25">
      <c r="C44" s="3"/>
    </row>
    <row r="56" spans="3:3" ht="15.75" x14ac:dyDescent="0.25">
      <c r="C56" s="14"/>
    </row>
    <row r="57" spans="3:3" ht="15.75" x14ac:dyDescent="0.25">
      <c r="C57" s="14"/>
    </row>
    <row r="58" spans="3:3" ht="15.75" x14ac:dyDescent="0.25">
      <c r="C58" s="14"/>
    </row>
    <row r="59" spans="3:3" ht="15.75" x14ac:dyDescent="0.25">
      <c r="C59" s="14"/>
    </row>
    <row r="60" spans="3:3" ht="15.75" x14ac:dyDescent="0.25">
      <c r="C60" s="14"/>
    </row>
    <row r="61" spans="3:3" ht="15.75" x14ac:dyDescent="0.25">
      <c r="C61" s="14"/>
    </row>
    <row r="62" spans="3:3" ht="15.75" x14ac:dyDescent="0.25">
      <c r="C62" s="14"/>
    </row>
    <row r="63" spans="3:3" ht="15.75" x14ac:dyDescent="0.25">
      <c r="C63" s="14"/>
    </row>
    <row r="64" spans="3:3" ht="15.75" x14ac:dyDescent="0.25">
      <c r="C64" s="14"/>
    </row>
    <row r="65" spans="3:11" ht="15.75" x14ac:dyDescent="0.25">
      <c r="C65" s="14"/>
    </row>
    <row r="66" spans="3:11" ht="15.75" x14ac:dyDescent="0.25">
      <c r="K66" s="14"/>
    </row>
  </sheetData>
  <mergeCells count="1">
    <mergeCell ref="B25:C25"/>
  </mergeCells>
  <dataValidations count="1">
    <dataValidation type="whole" allowBlank="1" showInputMessage="1" showErrorMessage="1" sqref="C7 C9:C24 E7 E9:E24" xr:uid="{35E4798D-97E8-45EC-884B-321484E9D6E1}">
      <formula1>0</formula1>
      <formula2>10000000</formula2>
    </dataValidation>
  </dataValidation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6"/>
  <sheetViews>
    <sheetView workbookViewId="0">
      <selection activeCell="E16" sqref="E16:G16"/>
    </sheetView>
  </sheetViews>
  <sheetFormatPr baseColWidth="10" defaultRowHeight="15" x14ac:dyDescent="0.25"/>
  <cols>
    <col min="2" max="2" width="21.7109375" customWidth="1"/>
    <col min="3" max="3" width="21.140625" customWidth="1"/>
    <col min="4" max="4" width="16" customWidth="1"/>
    <col min="5" max="5" width="16.140625" customWidth="1"/>
    <col min="6" max="6" width="15.42578125" customWidth="1"/>
    <col min="7" max="7" width="20.140625" customWidth="1"/>
  </cols>
  <sheetData>
    <row r="1" spans="1:7" ht="15.75" x14ac:dyDescent="0.25">
      <c r="A1" s="55" t="s">
        <v>118</v>
      </c>
      <c r="B1" s="36"/>
      <c r="C1" s="36"/>
      <c r="D1" s="36"/>
      <c r="E1" s="36"/>
      <c r="F1" s="36"/>
      <c r="G1" s="36"/>
    </row>
    <row r="2" spans="1:7" ht="15.75" x14ac:dyDescent="0.25">
      <c r="A2" s="55" t="s">
        <v>193</v>
      </c>
      <c r="B2" s="36"/>
      <c r="C2" s="36"/>
      <c r="D2" s="36"/>
      <c r="E2" s="36"/>
      <c r="F2" s="36"/>
      <c r="G2" s="36"/>
    </row>
    <row r="4" spans="1:7" ht="15.75" thickBot="1" x14ac:dyDescent="0.3"/>
    <row r="5" spans="1:7" ht="26.25" thickBot="1" x14ac:dyDescent="0.3">
      <c r="A5" s="1" t="s">
        <v>43</v>
      </c>
      <c r="B5" s="5" t="s">
        <v>113</v>
      </c>
      <c r="C5" s="41" t="s">
        <v>44</v>
      </c>
      <c r="D5" s="5" t="s">
        <v>45</v>
      </c>
      <c r="E5" s="41" t="s">
        <v>234</v>
      </c>
      <c r="F5" s="5" t="s">
        <v>235</v>
      </c>
      <c r="G5" s="6" t="s">
        <v>47</v>
      </c>
    </row>
    <row r="6" spans="1:7" x14ac:dyDescent="0.25">
      <c r="A6" s="46">
        <v>1</v>
      </c>
      <c r="B6" s="47" t="s">
        <v>237</v>
      </c>
      <c r="C6" s="48" t="s">
        <v>238</v>
      </c>
      <c r="D6" s="47" t="s">
        <v>239</v>
      </c>
      <c r="E6" s="257">
        <v>45943</v>
      </c>
      <c r="F6" s="171" t="s">
        <v>240</v>
      </c>
      <c r="G6" s="49" t="s">
        <v>241</v>
      </c>
    </row>
    <row r="7" spans="1:7" x14ac:dyDescent="0.25">
      <c r="A7" s="42">
        <v>2</v>
      </c>
      <c r="B7" s="47" t="s">
        <v>242</v>
      </c>
      <c r="C7" s="44" t="s">
        <v>243</v>
      </c>
      <c r="D7" s="43" t="s">
        <v>244</v>
      </c>
      <c r="E7" s="258">
        <v>45957</v>
      </c>
      <c r="F7" s="172" t="s">
        <v>245</v>
      </c>
      <c r="G7" s="45" t="s">
        <v>241</v>
      </c>
    </row>
    <row r="8" spans="1:7" x14ac:dyDescent="0.25">
      <c r="A8" s="46">
        <v>3</v>
      </c>
      <c r="B8" s="47" t="s">
        <v>237</v>
      </c>
      <c r="C8" s="44" t="s">
        <v>246</v>
      </c>
      <c r="D8" s="43" t="s">
        <v>111</v>
      </c>
      <c r="E8" s="258">
        <v>45971</v>
      </c>
      <c r="F8" s="172" t="s">
        <v>240</v>
      </c>
      <c r="G8" s="45" t="s">
        <v>241</v>
      </c>
    </row>
    <row r="9" spans="1:7" x14ac:dyDescent="0.25">
      <c r="A9" s="42">
        <v>4</v>
      </c>
      <c r="B9" s="47" t="s">
        <v>237</v>
      </c>
      <c r="C9" s="44" t="s">
        <v>247</v>
      </c>
      <c r="D9" s="43" t="s">
        <v>160</v>
      </c>
      <c r="E9" s="258">
        <v>45979</v>
      </c>
      <c r="F9" s="172" t="s">
        <v>245</v>
      </c>
      <c r="G9" s="45" t="s">
        <v>241</v>
      </c>
    </row>
    <row r="10" spans="1:7" x14ac:dyDescent="0.25">
      <c r="A10" s="46">
        <v>5</v>
      </c>
      <c r="B10" s="47"/>
      <c r="C10" s="44"/>
      <c r="D10" s="43"/>
      <c r="E10" s="44"/>
      <c r="F10" s="172"/>
      <c r="G10" s="45"/>
    </row>
    <row r="11" spans="1:7" x14ac:dyDescent="0.25">
      <c r="A11" s="42">
        <v>6</v>
      </c>
      <c r="B11" s="47"/>
      <c r="C11" s="44"/>
      <c r="D11" s="43"/>
      <c r="E11" s="44"/>
      <c r="F11" s="172"/>
      <c r="G11" s="45"/>
    </row>
    <row r="12" spans="1:7" x14ac:dyDescent="0.25">
      <c r="A12" s="46">
        <v>7</v>
      </c>
      <c r="B12" s="47"/>
      <c r="C12" s="44"/>
      <c r="D12" s="43"/>
      <c r="E12" s="44"/>
      <c r="F12" s="172"/>
      <c r="G12" s="45"/>
    </row>
    <row r="13" spans="1:7" x14ac:dyDescent="0.25">
      <c r="A13" s="42">
        <v>8</v>
      </c>
      <c r="B13" s="47"/>
      <c r="C13" s="44"/>
      <c r="D13" s="43"/>
      <c r="E13" s="44"/>
      <c r="F13" s="172"/>
      <c r="G13" s="45"/>
    </row>
    <row r="14" spans="1:7" x14ac:dyDescent="0.25">
      <c r="A14" s="46">
        <v>9</v>
      </c>
      <c r="B14" s="47"/>
      <c r="C14" s="44"/>
      <c r="D14" s="43"/>
      <c r="E14" s="44"/>
      <c r="F14" s="172"/>
      <c r="G14" s="45"/>
    </row>
    <row r="15" spans="1:7" ht="15.75" thickBot="1" x14ac:dyDescent="0.3">
      <c r="A15" s="42">
        <v>10</v>
      </c>
      <c r="B15" s="47"/>
      <c r="C15" s="44"/>
      <c r="D15" s="43"/>
      <c r="E15" s="44"/>
      <c r="F15" s="172"/>
      <c r="G15" s="45"/>
    </row>
    <row r="16" spans="1:7" ht="21" thickBot="1" x14ac:dyDescent="0.3">
      <c r="A16" s="283" t="s">
        <v>115</v>
      </c>
      <c r="B16" s="284"/>
      <c r="C16" s="284"/>
      <c r="D16" s="285"/>
      <c r="E16" s="286">
        <f>+SUM(E6:E15)</f>
        <v>183850</v>
      </c>
      <c r="F16" s="287"/>
      <c r="G16" s="288"/>
    </row>
  </sheetData>
  <mergeCells count="2">
    <mergeCell ref="A16:D16"/>
    <mergeCell ref="E16:G16"/>
  </mergeCells>
  <printOptions horizontalCentered="1" verticalCentered="1"/>
  <pageMargins left="0.70866141732283472" right="0.70866141732283472" top="0.55118110236220474" bottom="0.74803149606299213" header="0.31496062992125984" footer="0.31496062992125984"/>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workbookViewId="0">
      <selection activeCell="C1" sqref="C1:C1048576"/>
    </sheetView>
  </sheetViews>
  <sheetFormatPr baseColWidth="10" defaultRowHeight="15" x14ac:dyDescent="0.25"/>
  <cols>
    <col min="1" max="1" width="8" customWidth="1"/>
    <col min="2" max="2" width="32.28515625" bestFit="1" customWidth="1"/>
    <col min="3" max="3" width="9.85546875" bestFit="1" customWidth="1"/>
    <col min="4" max="4" width="17.42578125" bestFit="1" customWidth="1"/>
    <col min="5" max="5" width="9.7109375" bestFit="1" customWidth="1"/>
    <col min="6" max="6" width="16.28515625" customWidth="1"/>
    <col min="7" max="7" width="11.28515625" bestFit="1" customWidth="1"/>
  </cols>
  <sheetData>
    <row r="1" spans="1:7" ht="15.75" x14ac:dyDescent="0.25">
      <c r="A1" s="21" t="s">
        <v>194</v>
      </c>
      <c r="B1" s="36"/>
      <c r="C1" s="36"/>
      <c r="D1" s="36"/>
      <c r="E1" s="36"/>
      <c r="F1" s="36"/>
      <c r="G1" s="36"/>
    </row>
    <row r="2" spans="1:7" ht="16.5" thickBot="1" x14ac:dyDescent="0.3">
      <c r="A2" s="20"/>
      <c r="B2" s="36"/>
      <c r="C2" s="36"/>
      <c r="D2" s="36"/>
      <c r="E2" s="36"/>
      <c r="F2" s="36"/>
      <c r="G2" s="36"/>
    </row>
    <row r="3" spans="1:7" ht="26.25" thickBot="1" x14ac:dyDescent="0.3">
      <c r="A3" s="1" t="s">
        <v>43</v>
      </c>
      <c r="B3" s="5" t="s">
        <v>114</v>
      </c>
      <c r="C3" s="5" t="s">
        <v>45</v>
      </c>
      <c r="D3" s="6" t="s">
        <v>48</v>
      </c>
      <c r="E3" s="6" t="s">
        <v>49</v>
      </c>
      <c r="F3" s="6" t="s">
        <v>46</v>
      </c>
      <c r="G3" s="6" t="s">
        <v>47</v>
      </c>
    </row>
    <row r="4" spans="1:7" ht="15.75" thickBot="1" x14ac:dyDescent="0.3">
      <c r="A4" s="50">
        <v>1</v>
      </c>
      <c r="B4" s="37" t="s">
        <v>248</v>
      </c>
      <c r="C4" s="12" t="s">
        <v>248</v>
      </c>
      <c r="D4" s="12" t="s">
        <v>248</v>
      </c>
      <c r="E4" s="12" t="s">
        <v>248</v>
      </c>
      <c r="F4" s="12" t="s">
        <v>248</v>
      </c>
      <c r="G4" s="12" t="s">
        <v>248</v>
      </c>
    </row>
    <row r="5" spans="1:7" ht="15.75" thickBot="1" x14ac:dyDescent="0.3">
      <c r="A5" s="50">
        <v>2</v>
      </c>
      <c r="B5" s="37"/>
      <c r="C5" s="12"/>
      <c r="D5" s="12"/>
      <c r="E5" s="12"/>
      <c r="F5" s="12"/>
      <c r="G5" s="12"/>
    </row>
    <row r="6" spans="1:7" ht="15.75" thickBot="1" x14ac:dyDescent="0.3">
      <c r="A6" s="50">
        <v>3</v>
      </c>
      <c r="B6" s="37"/>
      <c r="C6" s="12"/>
      <c r="D6" s="12"/>
      <c r="E6" s="12"/>
      <c r="F6" s="12"/>
      <c r="G6" s="12"/>
    </row>
    <row r="7" spans="1:7" ht="15.75" thickBot="1" x14ac:dyDescent="0.3">
      <c r="A7" s="50">
        <v>4</v>
      </c>
      <c r="B7" s="37"/>
      <c r="C7" s="12"/>
      <c r="D7" s="12"/>
      <c r="E7" s="12"/>
      <c r="F7" s="12"/>
      <c r="G7" s="12"/>
    </row>
    <row r="8" spans="1:7" ht="15.75" thickBot="1" x14ac:dyDescent="0.3">
      <c r="A8" s="50">
        <v>5</v>
      </c>
      <c r="B8" s="37"/>
      <c r="C8" s="12"/>
      <c r="D8" s="12"/>
      <c r="E8" s="12"/>
      <c r="F8" s="12"/>
      <c r="G8" s="12"/>
    </row>
    <row r="9" spans="1:7" ht="15.75" thickBot="1" x14ac:dyDescent="0.3">
      <c r="A9" s="50">
        <v>6</v>
      </c>
      <c r="B9" s="37"/>
      <c r="C9" s="12"/>
      <c r="D9" s="12"/>
      <c r="E9" s="12"/>
      <c r="F9" s="12"/>
      <c r="G9" s="12"/>
    </row>
    <row r="10" spans="1:7" ht="15.75" thickBot="1" x14ac:dyDescent="0.3">
      <c r="A10" s="50">
        <v>7</v>
      </c>
      <c r="B10" s="37"/>
      <c r="C10" s="12"/>
      <c r="D10" s="12"/>
      <c r="E10" s="12"/>
      <c r="F10" s="12"/>
      <c r="G10" s="12"/>
    </row>
    <row r="11" spans="1:7" ht="15.75" thickBot="1" x14ac:dyDescent="0.3">
      <c r="A11" s="50">
        <v>8</v>
      </c>
      <c r="B11" s="37"/>
      <c r="C11" s="12"/>
      <c r="D11" s="12"/>
      <c r="E11" s="12"/>
      <c r="F11" s="12"/>
      <c r="G11" s="12"/>
    </row>
    <row r="12" spans="1:7" ht="15.75" thickBot="1" x14ac:dyDescent="0.3">
      <c r="A12" s="50">
        <v>9</v>
      </c>
      <c r="B12" s="37"/>
      <c r="C12" s="12"/>
      <c r="D12" s="12"/>
      <c r="E12" s="12"/>
      <c r="F12" s="12"/>
      <c r="G12" s="12"/>
    </row>
    <row r="13" spans="1:7" ht="15.75" thickBot="1" x14ac:dyDescent="0.3">
      <c r="A13" s="50">
        <v>10</v>
      </c>
      <c r="B13" s="37"/>
      <c r="C13" s="12"/>
      <c r="D13" s="12"/>
      <c r="E13" s="12"/>
      <c r="F13" s="12"/>
      <c r="G13" s="12"/>
    </row>
    <row r="14" spans="1:7" ht="15.75" thickBot="1" x14ac:dyDescent="0.3">
      <c r="A14" s="50">
        <v>11</v>
      </c>
      <c r="B14" s="37"/>
      <c r="C14" s="12"/>
      <c r="D14" s="12"/>
      <c r="E14" s="12"/>
      <c r="F14" s="12"/>
      <c r="G14" s="12"/>
    </row>
    <row r="15" spans="1:7" ht="15.75" thickBot="1" x14ac:dyDescent="0.3">
      <c r="A15" s="50">
        <v>12</v>
      </c>
      <c r="B15" s="37"/>
      <c r="C15" s="12"/>
      <c r="D15" s="12"/>
      <c r="E15" s="12"/>
      <c r="F15" s="12"/>
      <c r="G15" s="12"/>
    </row>
    <row r="16" spans="1:7" ht="15.75" thickBot="1" x14ac:dyDescent="0.3">
      <c r="A16" s="50">
        <v>13</v>
      </c>
      <c r="B16" s="37"/>
      <c r="C16" s="12"/>
      <c r="D16" s="12"/>
      <c r="E16" s="12"/>
      <c r="F16" s="12"/>
      <c r="G16" s="12"/>
    </row>
    <row r="17" spans="1:7" ht="15.75" thickBot="1" x14ac:dyDescent="0.3">
      <c r="A17" s="50">
        <v>14</v>
      </c>
      <c r="B17" s="37"/>
      <c r="C17" s="12"/>
      <c r="D17" s="12"/>
      <c r="E17" s="12"/>
      <c r="F17" s="12"/>
      <c r="G17" s="12"/>
    </row>
    <row r="18" spans="1:7" ht="15.75" thickBot="1" x14ac:dyDescent="0.3">
      <c r="A18" s="50">
        <v>15</v>
      </c>
      <c r="B18" s="37"/>
      <c r="C18" s="12"/>
      <c r="D18" s="12"/>
      <c r="E18" s="12"/>
      <c r="F18" s="12"/>
      <c r="G18" s="12"/>
    </row>
    <row r="19" spans="1:7" ht="15.75" thickBot="1" x14ac:dyDescent="0.3">
      <c r="A19" s="50">
        <v>16</v>
      </c>
      <c r="B19" s="37"/>
      <c r="C19" s="12"/>
      <c r="D19" s="12"/>
      <c r="E19" s="12"/>
      <c r="F19" s="12"/>
      <c r="G19" s="12"/>
    </row>
    <row r="20" spans="1:7" ht="15.75" thickBot="1" x14ac:dyDescent="0.3">
      <c r="A20" s="50">
        <v>17</v>
      </c>
      <c r="B20" s="37"/>
      <c r="C20" s="12"/>
      <c r="D20" s="12"/>
      <c r="E20" s="12"/>
      <c r="F20" s="12"/>
      <c r="G20" s="12"/>
    </row>
    <row r="21" spans="1:7" ht="15.75" thickBot="1" x14ac:dyDescent="0.3">
      <c r="A21" s="50">
        <v>18</v>
      </c>
      <c r="B21" s="37"/>
      <c r="C21" s="12"/>
      <c r="D21" s="12"/>
      <c r="E21" s="12"/>
      <c r="F21" s="12"/>
      <c r="G21" s="12"/>
    </row>
    <row r="22" spans="1:7" ht="15.75" thickBot="1" x14ac:dyDescent="0.3">
      <c r="A22" s="50">
        <v>19</v>
      </c>
      <c r="B22" s="37"/>
      <c r="C22" s="12"/>
      <c r="D22" s="12"/>
      <c r="E22" s="12"/>
      <c r="F22" s="12"/>
      <c r="G22" s="12"/>
    </row>
    <row r="23" spans="1:7" ht="15.75" thickBot="1" x14ac:dyDescent="0.3">
      <c r="A23" s="50">
        <v>20</v>
      </c>
      <c r="B23" s="15"/>
      <c r="C23" s="16"/>
      <c r="D23" s="35"/>
      <c r="E23" s="16"/>
      <c r="F23" s="16"/>
      <c r="G23" s="16"/>
    </row>
    <row r="24" spans="1:7" ht="16.5" thickBot="1" x14ac:dyDescent="0.3">
      <c r="A24" s="289" t="s">
        <v>116</v>
      </c>
      <c r="B24" s="290"/>
      <c r="C24" s="290"/>
      <c r="D24" s="291"/>
      <c r="E24" s="289">
        <f>+SUM(E4:E23)</f>
        <v>0</v>
      </c>
      <c r="F24" s="290"/>
      <c r="G24" s="291"/>
    </row>
    <row r="25" spans="1:7" x14ac:dyDescent="0.25">
      <c r="A25" s="36"/>
      <c r="B25" s="36"/>
      <c r="C25" s="36"/>
      <c r="D25" s="36"/>
      <c r="E25" s="36"/>
      <c r="F25" s="36"/>
      <c r="G25" s="36"/>
    </row>
    <row r="26" spans="1:7" x14ac:dyDescent="0.25">
      <c r="A26" s="36"/>
      <c r="B26" s="36"/>
      <c r="C26" s="36"/>
      <c r="D26" s="36"/>
      <c r="E26" s="36"/>
      <c r="F26" s="36"/>
      <c r="G26" s="36"/>
    </row>
    <row r="27" spans="1:7" x14ac:dyDescent="0.25">
      <c r="A27" s="56" t="s">
        <v>173</v>
      </c>
      <c r="B27" s="36"/>
      <c r="C27" s="36"/>
      <c r="D27" s="36"/>
      <c r="E27" s="36"/>
      <c r="F27" s="36"/>
      <c r="G27" s="36"/>
    </row>
  </sheetData>
  <mergeCells count="2">
    <mergeCell ref="A24:D24"/>
    <mergeCell ref="E24:G24"/>
  </mergeCells>
  <printOptions horizontalCentered="1" verticalCentered="1"/>
  <pageMargins left="0.70866141732283472" right="0.70866141732283472" top="0.55118110236220474" bottom="0.74803149606299213" header="0.31496062992125984" footer="0.31496062992125984"/>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68"/>
  <sheetViews>
    <sheetView workbookViewId="0">
      <selection activeCell="D28" sqref="D28"/>
    </sheetView>
  </sheetViews>
  <sheetFormatPr baseColWidth="10" defaultColWidth="11.42578125" defaultRowHeight="14.25" x14ac:dyDescent="0.25"/>
  <cols>
    <col min="1" max="1" width="4.42578125" style="188" customWidth="1"/>
    <col min="2" max="2" width="16.85546875" style="188" customWidth="1"/>
    <col min="3" max="3" width="22.28515625" style="188" customWidth="1"/>
    <col min="4" max="4" width="22.42578125" style="188" customWidth="1"/>
    <col min="5" max="5" width="17.140625" style="188" customWidth="1"/>
    <col min="6" max="6" width="5.5703125" style="188" customWidth="1"/>
    <col min="7" max="7" width="7.28515625" style="188" customWidth="1"/>
    <col min="8" max="8" width="5.28515625" style="188" customWidth="1"/>
    <col min="9" max="16384" width="11.42578125" style="188"/>
  </cols>
  <sheetData>
    <row r="1" spans="1:5" ht="15" customHeight="1" x14ac:dyDescent="0.25">
      <c r="A1" s="19" t="s">
        <v>206</v>
      </c>
      <c r="B1" s="19"/>
    </row>
    <row r="2" spans="1:5" ht="15" customHeight="1" x14ac:dyDescent="0.25"/>
    <row r="3" spans="1:5" ht="63" customHeight="1" x14ac:dyDescent="0.25">
      <c r="B3" s="238" t="s">
        <v>190</v>
      </c>
      <c r="C3" s="237" t="s">
        <v>207</v>
      </c>
      <c r="D3" s="237" t="s">
        <v>208</v>
      </c>
      <c r="E3" s="243" t="s">
        <v>17</v>
      </c>
    </row>
    <row r="4" spans="1:5" ht="15" customHeight="1" x14ac:dyDescent="0.25">
      <c r="B4" s="236" t="s">
        <v>53</v>
      </c>
      <c r="C4" s="238">
        <v>0</v>
      </c>
      <c r="D4" s="238">
        <v>28</v>
      </c>
      <c r="E4" s="238">
        <v>28</v>
      </c>
    </row>
    <row r="5" spans="1:5" x14ac:dyDescent="0.25">
      <c r="B5" s="236" t="s">
        <v>104</v>
      </c>
      <c r="C5" s="238">
        <v>0</v>
      </c>
      <c r="D5" s="238">
        <v>17</v>
      </c>
      <c r="E5" s="238">
        <v>17</v>
      </c>
    </row>
    <row r="6" spans="1:5" ht="20.25" customHeight="1" x14ac:dyDescent="0.25">
      <c r="B6" s="236" t="s">
        <v>54</v>
      </c>
      <c r="C6" s="238">
        <v>0</v>
      </c>
      <c r="D6" s="238">
        <v>6</v>
      </c>
      <c r="E6" s="238">
        <v>6</v>
      </c>
    </row>
    <row r="7" spans="1:5" x14ac:dyDescent="0.25">
      <c r="B7" s="236" t="s">
        <v>55</v>
      </c>
      <c r="C7" s="238"/>
      <c r="D7" s="238"/>
      <c r="E7" s="238"/>
    </row>
    <row r="8" spans="1:5" ht="15.75" customHeight="1" x14ac:dyDescent="0.25">
      <c r="B8" s="239" t="s">
        <v>213</v>
      </c>
      <c r="C8" s="240">
        <f>SUM(C4:C7)</f>
        <v>0</v>
      </c>
      <c r="D8" s="240">
        <f t="shared" ref="D8:E8" si="0">SUM(D4:D7)</f>
        <v>51</v>
      </c>
      <c r="E8" s="240">
        <f t="shared" si="0"/>
        <v>51</v>
      </c>
    </row>
    <row r="9" spans="1:5" ht="15.75" customHeight="1" x14ac:dyDescent="0.25">
      <c r="B9" s="236" t="s">
        <v>56</v>
      </c>
      <c r="C9" s="238"/>
      <c r="D9" s="238"/>
      <c r="E9" s="238"/>
    </row>
    <row r="10" spans="1:5" ht="15" customHeight="1" x14ac:dyDescent="0.25">
      <c r="B10" s="236" t="s">
        <v>57</v>
      </c>
      <c r="C10" s="238"/>
      <c r="D10" s="238"/>
      <c r="E10" s="238"/>
    </row>
    <row r="11" spans="1:5" ht="15" customHeight="1" x14ac:dyDescent="0.25">
      <c r="B11" s="236" t="s">
        <v>209</v>
      </c>
      <c r="C11" s="238">
        <f>C9+C10</f>
        <v>0</v>
      </c>
      <c r="D11" s="238">
        <f t="shared" ref="D11:E11" si="1">D9+D10</f>
        <v>0</v>
      </c>
      <c r="E11" s="238">
        <f t="shared" si="1"/>
        <v>0</v>
      </c>
    </row>
    <row r="12" spans="1:5" ht="15" customHeight="1" x14ac:dyDescent="0.25">
      <c r="B12" s="236" t="s">
        <v>58</v>
      </c>
      <c r="C12" s="238"/>
      <c r="D12" s="238"/>
      <c r="E12" s="238"/>
    </row>
    <row r="13" spans="1:5" ht="15" customHeight="1" x14ac:dyDescent="0.25">
      <c r="B13" s="236" t="s">
        <v>59</v>
      </c>
      <c r="C13" s="238"/>
      <c r="D13" s="238"/>
      <c r="E13" s="238"/>
    </row>
    <row r="14" spans="1:5" ht="15" customHeight="1" x14ac:dyDescent="0.25">
      <c r="B14" s="236" t="s">
        <v>60</v>
      </c>
      <c r="C14" s="238"/>
      <c r="D14" s="238"/>
      <c r="E14" s="238"/>
    </row>
    <row r="15" spans="1:5" ht="15" customHeight="1" x14ac:dyDescent="0.25">
      <c r="B15" s="236" t="s">
        <v>210</v>
      </c>
      <c r="C15" s="238">
        <f>C12+C13+C14</f>
        <v>0</v>
      </c>
      <c r="D15" s="238">
        <f t="shared" ref="D15:E15" si="2">D12+D13+D14</f>
        <v>0</v>
      </c>
      <c r="E15" s="238">
        <f t="shared" si="2"/>
        <v>0</v>
      </c>
    </row>
    <row r="16" spans="1:5" ht="15" customHeight="1" x14ac:dyDescent="0.25">
      <c r="B16" s="236" t="s">
        <v>69</v>
      </c>
      <c r="C16" s="238"/>
      <c r="D16" s="238"/>
      <c r="E16" s="238"/>
    </row>
    <row r="17" spans="2:5" ht="15" customHeight="1" x14ac:dyDescent="0.25">
      <c r="B17" s="236" t="s">
        <v>70</v>
      </c>
      <c r="C17" s="238"/>
      <c r="D17" s="238"/>
      <c r="E17" s="238"/>
    </row>
    <row r="18" spans="2:5" ht="15" customHeight="1" x14ac:dyDescent="0.25">
      <c r="B18" s="236" t="s">
        <v>71</v>
      </c>
      <c r="C18" s="238"/>
      <c r="D18" s="238"/>
      <c r="E18" s="238"/>
    </row>
    <row r="19" spans="2:5" ht="15" customHeight="1" x14ac:dyDescent="0.25">
      <c r="B19" s="236" t="s">
        <v>211</v>
      </c>
      <c r="C19" s="238">
        <f>C16+C17+C18</f>
        <v>0</v>
      </c>
      <c r="D19" s="238">
        <f t="shared" ref="D19:E19" si="3">D16+D17+D18</f>
        <v>0</v>
      </c>
      <c r="E19" s="238">
        <f t="shared" si="3"/>
        <v>0</v>
      </c>
    </row>
    <row r="20" spans="2:5" ht="15" customHeight="1" x14ac:dyDescent="0.25">
      <c r="B20" s="239" t="s">
        <v>214</v>
      </c>
      <c r="C20" s="240">
        <f>C11+C15+C19</f>
        <v>0</v>
      </c>
      <c r="D20" s="240">
        <f t="shared" ref="D20:E20" si="4">D11+D15+D19</f>
        <v>0</v>
      </c>
      <c r="E20" s="240">
        <f t="shared" si="4"/>
        <v>0</v>
      </c>
    </row>
    <row r="21" spans="2:5" ht="15" customHeight="1" x14ac:dyDescent="0.25">
      <c r="B21" s="241" t="s">
        <v>212</v>
      </c>
      <c r="C21" s="242">
        <f>C8+C20</f>
        <v>0</v>
      </c>
      <c r="D21" s="242">
        <f t="shared" ref="D21:E21" si="5">D8+D20</f>
        <v>51</v>
      </c>
      <c r="E21" s="242">
        <f t="shared" si="5"/>
        <v>51</v>
      </c>
    </row>
    <row r="22" spans="2:5" ht="15" customHeight="1" x14ac:dyDescent="0.25"/>
    <row r="23" spans="2:5" ht="15" customHeight="1" x14ac:dyDescent="0.25"/>
    <row r="24" spans="2:5" ht="15" customHeight="1" x14ac:dyDescent="0.25"/>
    <row r="25" spans="2:5" ht="15" customHeight="1" x14ac:dyDescent="0.25"/>
    <row r="26" spans="2:5" ht="15" customHeight="1" x14ac:dyDescent="0.25"/>
    <row r="27" spans="2:5" ht="15" customHeight="1" x14ac:dyDescent="0.25"/>
    <row r="28" spans="2:5" ht="15" customHeight="1" x14ac:dyDescent="0.25"/>
    <row r="29" spans="2:5" ht="15" customHeight="1" x14ac:dyDescent="0.25"/>
    <row r="30" spans="2:5" ht="15" customHeight="1" x14ac:dyDescent="0.25"/>
    <row r="31" spans="2:5" ht="15" customHeight="1" x14ac:dyDescent="0.25"/>
    <row r="32" spans="2:5"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4" ht="20.25" customHeight="1" x14ac:dyDescent="0.25"/>
    <row r="76" ht="15.75" customHeight="1" x14ac:dyDescent="0.25"/>
    <row r="77" ht="15.7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7" ht="20.25" customHeight="1" x14ac:dyDescent="0.25"/>
    <row r="129" ht="15.75" customHeight="1" x14ac:dyDescent="0.25"/>
    <row r="130" ht="15.7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3" ht="20.25" customHeight="1" x14ac:dyDescent="0.25"/>
    <row r="195" ht="15.75" customHeight="1" x14ac:dyDescent="0.25"/>
    <row r="196" ht="15.7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7" ht="20.25" customHeight="1" x14ac:dyDescent="0.25"/>
    <row r="259" ht="15.75" customHeight="1" x14ac:dyDescent="0.25"/>
    <row r="260" ht="15.7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20" ht="20.25" customHeight="1" x14ac:dyDescent="0.25"/>
    <row r="322" ht="15.75" customHeight="1" x14ac:dyDescent="0.25"/>
    <row r="323" ht="15.7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4" ht="20.25" customHeight="1" x14ac:dyDescent="0.25"/>
    <row r="396" ht="15.75" customHeight="1" x14ac:dyDescent="0.25"/>
    <row r="397" ht="15.7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9" ht="20.25" customHeight="1" x14ac:dyDescent="0.25"/>
    <row r="461" ht="15.75" customHeight="1" x14ac:dyDescent="0.25"/>
    <row r="462" ht="15.7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21" ht="20.25" customHeight="1" x14ac:dyDescent="0.25"/>
    <row r="523" ht="15.75" customHeight="1" x14ac:dyDescent="0.25"/>
    <row r="524" ht="15.7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6" ht="20.25" customHeight="1" x14ac:dyDescent="0.25"/>
    <row r="568" ht="15.75" customHeight="1" x14ac:dyDescent="0.25"/>
    <row r="569" ht="15.7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6" ht="20.25" customHeight="1" x14ac:dyDescent="0.25"/>
    <row r="618" ht="15.75" customHeight="1" x14ac:dyDescent="0.25"/>
    <row r="619" ht="15.7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6" ht="20.25" customHeight="1" x14ac:dyDescent="0.25"/>
    <row r="668" ht="15.75" customHeight="1" x14ac:dyDescent="0.25"/>
    <row r="669" ht="15.7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8" ht="20.25" customHeight="1" x14ac:dyDescent="0.25"/>
    <row r="720" ht="15.75" customHeight="1" x14ac:dyDescent="0.25"/>
    <row r="721" ht="15.7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sheetData>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Z25"/>
  <sheetViews>
    <sheetView zoomScale="90" zoomScaleNormal="90" workbookViewId="0">
      <selection activeCell="W27" sqref="W27"/>
    </sheetView>
  </sheetViews>
  <sheetFormatPr baseColWidth="10" defaultRowHeight="15" x14ac:dyDescent="0.25"/>
  <cols>
    <col min="1" max="1" width="3.7109375" customWidth="1"/>
    <col min="2" max="2" width="7.5703125" customWidth="1"/>
    <col min="3" max="3" width="7.42578125" customWidth="1"/>
    <col min="4" max="5" width="5.42578125" customWidth="1"/>
    <col min="6" max="6" width="6.42578125" customWidth="1"/>
    <col min="7" max="7" width="7.5703125" customWidth="1"/>
    <col min="8" max="8" width="6" customWidth="1"/>
    <col min="9" max="9" width="5.42578125" customWidth="1"/>
    <col min="10" max="10" width="6.140625" customWidth="1"/>
    <col min="11" max="12" width="5.42578125" customWidth="1"/>
    <col min="13" max="13" width="6.42578125" customWidth="1"/>
    <col min="14" max="14" width="8.5703125" customWidth="1"/>
    <col min="15" max="16" width="5.42578125" customWidth="1"/>
    <col min="17" max="17" width="6.28515625" customWidth="1"/>
    <col min="18" max="18" width="8.85546875" customWidth="1"/>
    <col min="19" max="19" width="5.140625" customWidth="1"/>
    <col min="20" max="20" width="5.42578125" customWidth="1"/>
    <col min="21" max="21" width="6.28515625" customWidth="1"/>
    <col min="22" max="22" width="8.42578125" customWidth="1"/>
    <col min="23" max="23" width="5.42578125" customWidth="1"/>
  </cols>
  <sheetData>
    <row r="1" spans="1:22" x14ac:dyDescent="0.25">
      <c r="A1" s="19" t="s">
        <v>50</v>
      </c>
      <c r="B1" s="36"/>
      <c r="C1" s="36"/>
      <c r="D1" s="36"/>
      <c r="E1" s="36"/>
      <c r="F1" s="36"/>
      <c r="G1" s="36"/>
      <c r="H1" s="36"/>
      <c r="I1" s="36"/>
      <c r="J1" s="36"/>
      <c r="K1" s="36"/>
      <c r="L1" s="36"/>
      <c r="M1" s="36"/>
    </row>
    <row r="2" spans="1:22" ht="6.95" customHeight="1" x14ac:dyDescent="0.25">
      <c r="A2" s="3"/>
      <c r="B2" s="36"/>
      <c r="C2" s="36"/>
      <c r="D2" s="36"/>
      <c r="E2" s="36"/>
      <c r="F2" s="36"/>
      <c r="G2" s="36"/>
      <c r="H2" s="36"/>
      <c r="I2" s="36"/>
      <c r="J2" s="36"/>
      <c r="K2" s="36"/>
      <c r="L2" s="36"/>
      <c r="M2" s="36"/>
    </row>
    <row r="3" spans="1:22" ht="15.75" x14ac:dyDescent="0.25">
      <c r="A3" s="4" t="s">
        <v>157</v>
      </c>
      <c r="B3" s="56"/>
      <c r="C3" s="56"/>
      <c r="D3" s="56"/>
      <c r="E3" s="56"/>
      <c r="F3" s="56"/>
      <c r="G3" s="56"/>
      <c r="H3" s="56"/>
      <c r="I3" s="36"/>
      <c r="J3" s="36"/>
      <c r="K3" s="36"/>
      <c r="L3" s="36"/>
      <c r="M3" s="36"/>
    </row>
    <row r="4" spans="1:22" ht="6" customHeight="1" x14ac:dyDescent="0.25">
      <c r="A4" s="3"/>
      <c r="B4" s="36"/>
      <c r="C4" s="36"/>
      <c r="D4" s="36"/>
      <c r="E4" s="36"/>
      <c r="F4" s="36"/>
      <c r="G4" s="36"/>
      <c r="H4" s="36"/>
      <c r="I4" s="36"/>
      <c r="J4" s="36"/>
      <c r="K4" s="36"/>
      <c r="L4" s="36"/>
      <c r="M4" s="36"/>
    </row>
    <row r="5" spans="1:22" ht="15.75" x14ac:dyDescent="0.25">
      <c r="A5" s="4" t="s">
        <v>154</v>
      </c>
      <c r="B5" s="36"/>
      <c r="C5" s="36"/>
      <c r="D5" s="36"/>
      <c r="E5" s="36"/>
      <c r="F5" s="36"/>
      <c r="G5" s="36"/>
      <c r="H5" s="36"/>
      <c r="I5" s="36"/>
      <c r="J5" s="36"/>
      <c r="K5" s="36"/>
      <c r="L5" s="36"/>
      <c r="M5" s="36"/>
    </row>
    <row r="6" spans="1:22" ht="6.6" customHeight="1" thickBot="1" x14ac:dyDescent="0.3">
      <c r="A6" s="2"/>
    </row>
    <row r="7" spans="1:22" ht="25.5" customHeight="1" thickBot="1" x14ac:dyDescent="0.3">
      <c r="B7" s="27"/>
      <c r="C7" s="27"/>
      <c r="D7" s="298" t="s">
        <v>78</v>
      </c>
      <c r="E7" s="299"/>
      <c r="F7" s="300"/>
      <c r="G7" s="301" t="s">
        <v>79</v>
      </c>
      <c r="H7" s="298" t="s">
        <v>80</v>
      </c>
      <c r="I7" s="299"/>
      <c r="J7" s="300"/>
      <c r="K7" s="303" t="s">
        <v>81</v>
      </c>
      <c r="L7" s="293"/>
      <c r="M7" s="293"/>
      <c r="N7" s="304"/>
      <c r="O7" s="292" t="s">
        <v>82</v>
      </c>
      <c r="P7" s="293"/>
      <c r="Q7" s="293"/>
      <c r="R7" s="294"/>
      <c r="S7" s="292" t="s">
        <v>83</v>
      </c>
      <c r="T7" s="293"/>
      <c r="U7" s="293"/>
      <c r="V7" s="294"/>
    </row>
    <row r="8" spans="1:22" ht="34.5" customHeight="1" thickBot="1" x14ac:dyDescent="0.3">
      <c r="A8" s="295" t="s">
        <v>156</v>
      </c>
      <c r="B8" s="189" t="s">
        <v>64</v>
      </c>
      <c r="C8" s="230" t="s">
        <v>192</v>
      </c>
      <c r="D8" s="132" t="s">
        <v>84</v>
      </c>
      <c r="E8" s="133" t="s">
        <v>16</v>
      </c>
      <c r="F8" s="134" t="s">
        <v>2</v>
      </c>
      <c r="G8" s="302"/>
      <c r="H8" s="104" t="s">
        <v>84</v>
      </c>
      <c r="I8" s="140" t="s">
        <v>16</v>
      </c>
      <c r="J8" s="105" t="s">
        <v>2</v>
      </c>
      <c r="K8" s="137" t="s">
        <v>84</v>
      </c>
      <c r="L8" s="136" t="s">
        <v>16</v>
      </c>
      <c r="M8" s="136" t="s">
        <v>2</v>
      </c>
      <c r="N8" s="138" t="s">
        <v>85</v>
      </c>
      <c r="O8" s="135" t="s">
        <v>84</v>
      </c>
      <c r="P8" s="136" t="s">
        <v>16</v>
      </c>
      <c r="Q8" s="136" t="s">
        <v>2</v>
      </c>
      <c r="R8" s="139" t="s">
        <v>86</v>
      </c>
      <c r="S8" s="135" t="s">
        <v>84</v>
      </c>
      <c r="T8" s="136" t="s">
        <v>16</v>
      </c>
      <c r="U8" s="136" t="s">
        <v>2</v>
      </c>
      <c r="V8" s="139" t="s">
        <v>85</v>
      </c>
    </row>
    <row r="9" spans="1:22" ht="15.75" x14ac:dyDescent="0.25">
      <c r="A9" s="296"/>
      <c r="B9" s="96" t="s">
        <v>65</v>
      </c>
      <c r="C9" s="100">
        <v>1</v>
      </c>
      <c r="D9" s="122">
        <v>13</v>
      </c>
      <c r="E9" s="122">
        <v>15</v>
      </c>
      <c r="F9" s="123">
        <f>SUM( D9:E9)</f>
        <v>28</v>
      </c>
      <c r="G9" s="124">
        <f>F9-J9</f>
        <v>28</v>
      </c>
      <c r="H9" s="122">
        <v>0</v>
      </c>
      <c r="I9" s="122">
        <v>0</v>
      </c>
      <c r="J9" s="141">
        <f>SUM(H9,I9)</f>
        <v>0</v>
      </c>
      <c r="K9" s="125">
        <v>11</v>
      </c>
      <c r="L9" s="125">
        <v>15</v>
      </c>
      <c r="M9" s="126">
        <f>SUM(K9,L9)</f>
        <v>26</v>
      </c>
      <c r="N9" s="127">
        <f>M9*100/G9</f>
        <v>92.857142857142861</v>
      </c>
      <c r="O9" s="122">
        <v>1</v>
      </c>
      <c r="P9" s="122">
        <v>0</v>
      </c>
      <c r="Q9" s="141">
        <f>SUM(O9,P9)</f>
        <v>1</v>
      </c>
      <c r="R9" s="147">
        <f>Q9*100/G9</f>
        <v>3.5714285714285716</v>
      </c>
      <c r="S9" s="122">
        <v>1</v>
      </c>
      <c r="T9" s="122">
        <v>0</v>
      </c>
      <c r="U9" s="141">
        <f>SUM(S9,T9)</f>
        <v>1</v>
      </c>
      <c r="V9" s="147">
        <f>U9*100/G9</f>
        <v>3.5714285714285716</v>
      </c>
    </row>
    <row r="10" spans="1:22" ht="15.75" x14ac:dyDescent="0.25">
      <c r="A10" s="296"/>
      <c r="B10" s="97" t="s">
        <v>66</v>
      </c>
      <c r="C10" s="100">
        <v>1</v>
      </c>
      <c r="D10" s="122">
        <v>7</v>
      </c>
      <c r="E10" s="122">
        <v>10</v>
      </c>
      <c r="F10" s="123">
        <f t="shared" ref="F10:F12" si="0">SUM( D10:E10)</f>
        <v>17</v>
      </c>
      <c r="G10" s="110">
        <f t="shared" ref="G10:G23" si="1">F10-J10</f>
        <v>17</v>
      </c>
      <c r="H10" s="122">
        <v>0</v>
      </c>
      <c r="I10" s="122">
        <v>0</v>
      </c>
      <c r="J10" s="142">
        <f t="shared" ref="J10:J23" si="2">SUM(H10,I10)</f>
        <v>0</v>
      </c>
      <c r="K10" s="125">
        <v>6</v>
      </c>
      <c r="L10" s="125">
        <v>10</v>
      </c>
      <c r="M10" s="101">
        <f t="shared" ref="M10:M23" si="3">SUM(K10,L10)</f>
        <v>16</v>
      </c>
      <c r="N10" s="117">
        <f t="shared" ref="N10:N21" si="4">M10*100/G10</f>
        <v>94.117647058823536</v>
      </c>
      <c r="O10" s="122">
        <v>1</v>
      </c>
      <c r="P10" s="122">
        <v>0</v>
      </c>
      <c r="Q10" s="142">
        <f t="shared" ref="Q10:Q23" si="5">SUM(O10,P10)</f>
        <v>1</v>
      </c>
      <c r="R10" s="121">
        <f t="shared" ref="R10:R23" si="6">Q10*100/G10</f>
        <v>5.882352941176471</v>
      </c>
      <c r="S10" s="122">
        <v>0</v>
      </c>
      <c r="T10" s="122">
        <v>0</v>
      </c>
      <c r="U10" s="142">
        <f t="shared" ref="U10:U23" si="7">SUM(S10,T10)</f>
        <v>0</v>
      </c>
      <c r="V10" s="121">
        <f t="shared" ref="V10:V23" si="8">U10*100/G10</f>
        <v>0</v>
      </c>
    </row>
    <row r="11" spans="1:22" ht="15.75" x14ac:dyDescent="0.25">
      <c r="A11" s="296"/>
      <c r="B11" s="97" t="s">
        <v>67</v>
      </c>
      <c r="C11" s="100">
        <v>1</v>
      </c>
      <c r="D11" s="122">
        <v>3</v>
      </c>
      <c r="E11" s="122">
        <v>3</v>
      </c>
      <c r="F11" s="123">
        <f t="shared" si="0"/>
        <v>6</v>
      </c>
      <c r="G11" s="110">
        <f t="shared" si="1"/>
        <v>6</v>
      </c>
      <c r="H11" s="122">
        <v>0</v>
      </c>
      <c r="I11" s="122">
        <v>0</v>
      </c>
      <c r="J11" s="142">
        <f t="shared" si="2"/>
        <v>0</v>
      </c>
      <c r="K11" s="125">
        <v>3</v>
      </c>
      <c r="L11" s="125">
        <v>3</v>
      </c>
      <c r="M11" s="101">
        <f t="shared" si="3"/>
        <v>6</v>
      </c>
      <c r="N11" s="117">
        <f t="shared" si="4"/>
        <v>100</v>
      </c>
      <c r="O11" s="122">
        <v>0</v>
      </c>
      <c r="P11" s="122">
        <v>0</v>
      </c>
      <c r="Q11" s="142">
        <f t="shared" si="5"/>
        <v>0</v>
      </c>
      <c r="R11" s="121">
        <f t="shared" si="6"/>
        <v>0</v>
      </c>
      <c r="S11" s="122">
        <v>0</v>
      </c>
      <c r="T11" s="122">
        <v>0</v>
      </c>
      <c r="U11" s="142">
        <f t="shared" si="7"/>
        <v>0</v>
      </c>
      <c r="V11" s="121">
        <f t="shared" si="8"/>
        <v>0</v>
      </c>
    </row>
    <row r="12" spans="1:22" ht="16.5" thickBot="1" x14ac:dyDescent="0.3">
      <c r="A12" s="296"/>
      <c r="B12" s="98" t="s">
        <v>68</v>
      </c>
      <c r="C12" s="229"/>
      <c r="D12" s="122"/>
      <c r="E12" s="122"/>
      <c r="F12" s="123">
        <f t="shared" si="0"/>
        <v>0</v>
      </c>
      <c r="G12" s="111">
        <f t="shared" si="1"/>
        <v>0</v>
      </c>
      <c r="H12" s="122"/>
      <c r="I12" s="122"/>
      <c r="J12" s="143">
        <f t="shared" si="2"/>
        <v>0</v>
      </c>
      <c r="K12" s="125"/>
      <c r="L12" s="125"/>
      <c r="M12" s="106">
        <f t="shared" si="3"/>
        <v>0</v>
      </c>
      <c r="N12" s="118" t="e">
        <f t="shared" si="4"/>
        <v>#DIV/0!</v>
      </c>
      <c r="O12" s="122"/>
      <c r="P12" s="122"/>
      <c r="Q12" s="143">
        <f t="shared" si="5"/>
        <v>0</v>
      </c>
      <c r="R12" s="148" t="e">
        <f t="shared" si="6"/>
        <v>#DIV/0!</v>
      </c>
      <c r="S12" s="122"/>
      <c r="T12" s="122"/>
      <c r="U12" s="143">
        <f t="shared" si="7"/>
        <v>0</v>
      </c>
      <c r="V12" s="148" t="e">
        <f t="shared" si="8"/>
        <v>#DIV/0!</v>
      </c>
    </row>
    <row r="13" spans="1:22" ht="45.75" customHeight="1" thickBot="1" x14ac:dyDescent="0.3">
      <c r="A13" s="296"/>
      <c r="B13" s="99" t="s">
        <v>87</v>
      </c>
      <c r="C13" s="108">
        <f t="shared" ref="C13:E13" si="9">C9+C10+C11+C12</f>
        <v>3</v>
      </c>
      <c r="D13" s="108">
        <f t="shared" si="9"/>
        <v>23</v>
      </c>
      <c r="E13" s="109">
        <f t="shared" si="9"/>
        <v>28</v>
      </c>
      <c r="F13" s="128">
        <f t="shared" ref="F13" si="10">+SUM( D13:E13)</f>
        <v>51</v>
      </c>
      <c r="G13" s="129">
        <f t="shared" si="1"/>
        <v>51</v>
      </c>
      <c r="H13" s="108">
        <f t="shared" ref="H13:I13" si="11">H9+H10+H11+H12</f>
        <v>0</v>
      </c>
      <c r="I13" s="112">
        <f t="shared" si="11"/>
        <v>0</v>
      </c>
      <c r="J13" s="144">
        <f>SUM(H13,I13)</f>
        <v>0</v>
      </c>
      <c r="K13" s="114">
        <f t="shared" ref="K13:L13" si="12">K9+K10+K11+K12</f>
        <v>20</v>
      </c>
      <c r="L13" s="109">
        <f t="shared" si="12"/>
        <v>28</v>
      </c>
      <c r="M13" s="130">
        <f t="shared" si="3"/>
        <v>48</v>
      </c>
      <c r="N13" s="131">
        <f>M13*100/G13</f>
        <v>94.117647058823536</v>
      </c>
      <c r="O13" s="108">
        <f t="shared" ref="O13:P13" si="13">O9+O10+O11+O12</f>
        <v>2</v>
      </c>
      <c r="P13" s="112">
        <f t="shared" si="13"/>
        <v>0</v>
      </c>
      <c r="Q13" s="144">
        <f t="shared" si="5"/>
        <v>2</v>
      </c>
      <c r="R13" s="149">
        <f t="shared" si="6"/>
        <v>3.9215686274509802</v>
      </c>
      <c r="S13" s="108">
        <f t="shared" ref="S13:T13" si="14">S9+S10+S11+S12</f>
        <v>1</v>
      </c>
      <c r="T13" s="112">
        <f t="shared" si="14"/>
        <v>0</v>
      </c>
      <c r="U13" s="144">
        <f t="shared" si="7"/>
        <v>1</v>
      </c>
      <c r="V13" s="149">
        <f t="shared" si="8"/>
        <v>1.9607843137254901</v>
      </c>
    </row>
    <row r="14" spans="1:22" ht="18.95" customHeight="1" x14ac:dyDescent="0.25">
      <c r="A14" s="296"/>
      <c r="B14" s="100" t="s">
        <v>56</v>
      </c>
      <c r="C14" s="100"/>
      <c r="D14" s="122"/>
      <c r="E14" s="122"/>
      <c r="F14" s="123">
        <f>SUM( D14:E14)</f>
        <v>0</v>
      </c>
      <c r="G14" s="124">
        <f t="shared" si="1"/>
        <v>0</v>
      </c>
      <c r="H14" s="122"/>
      <c r="I14" s="122"/>
      <c r="J14" s="145">
        <f t="shared" si="2"/>
        <v>0</v>
      </c>
      <c r="K14" s="122"/>
      <c r="L14" s="125"/>
      <c r="M14" s="126">
        <f t="shared" si="3"/>
        <v>0</v>
      </c>
      <c r="N14" s="127" t="e">
        <f>M14*100/G14</f>
        <v>#DIV/0!</v>
      </c>
      <c r="O14" s="122"/>
      <c r="P14" s="122"/>
      <c r="Q14" s="145">
        <f t="shared" si="5"/>
        <v>0</v>
      </c>
      <c r="R14" s="147" t="e">
        <f>Q14*100/G14</f>
        <v>#DIV/0!</v>
      </c>
      <c r="S14" s="122"/>
      <c r="T14" s="122"/>
      <c r="U14" s="145">
        <f t="shared" si="7"/>
        <v>0</v>
      </c>
      <c r="V14" s="147" t="e">
        <f>U14*100/G14</f>
        <v>#DIV/0!</v>
      </c>
    </row>
    <row r="15" spans="1:22" ht="15.75" x14ac:dyDescent="0.25">
      <c r="A15" s="296"/>
      <c r="B15" s="97" t="s">
        <v>57</v>
      </c>
      <c r="C15" s="100"/>
      <c r="D15" s="122"/>
      <c r="E15" s="122"/>
      <c r="F15" s="123">
        <f t="shared" ref="F15:F21" si="15">SUM( D15:E15)</f>
        <v>0</v>
      </c>
      <c r="G15" s="110">
        <f t="shared" si="1"/>
        <v>0</v>
      </c>
      <c r="H15" s="122"/>
      <c r="I15" s="122"/>
      <c r="J15" s="142">
        <f t="shared" si="2"/>
        <v>0</v>
      </c>
      <c r="K15" s="122"/>
      <c r="L15" s="125"/>
      <c r="M15" s="101">
        <f t="shared" si="3"/>
        <v>0</v>
      </c>
      <c r="N15" s="117" t="e">
        <f>M15*100/G15</f>
        <v>#DIV/0!</v>
      </c>
      <c r="O15" s="122"/>
      <c r="P15" s="122"/>
      <c r="Q15" s="142">
        <f t="shared" si="5"/>
        <v>0</v>
      </c>
      <c r="R15" s="121" t="e">
        <f t="shared" si="6"/>
        <v>#DIV/0!</v>
      </c>
      <c r="S15" s="122"/>
      <c r="T15" s="122"/>
      <c r="U15" s="142">
        <f t="shared" si="7"/>
        <v>0</v>
      </c>
      <c r="V15" s="121" t="e">
        <f t="shared" si="8"/>
        <v>#DIV/0!</v>
      </c>
    </row>
    <row r="16" spans="1:22" ht="15.75" x14ac:dyDescent="0.25">
      <c r="A16" s="296"/>
      <c r="B16" s="97" t="s">
        <v>58</v>
      </c>
      <c r="C16" s="100"/>
      <c r="D16" s="122"/>
      <c r="E16" s="122"/>
      <c r="F16" s="123">
        <f t="shared" si="15"/>
        <v>0</v>
      </c>
      <c r="G16" s="110">
        <f t="shared" si="1"/>
        <v>0</v>
      </c>
      <c r="H16" s="122"/>
      <c r="I16" s="122"/>
      <c r="J16" s="142">
        <f t="shared" si="2"/>
        <v>0</v>
      </c>
      <c r="K16" s="122"/>
      <c r="L16" s="125"/>
      <c r="M16" s="101">
        <f t="shared" si="3"/>
        <v>0</v>
      </c>
      <c r="N16" s="117" t="e">
        <f t="shared" si="4"/>
        <v>#DIV/0!</v>
      </c>
      <c r="O16" s="122"/>
      <c r="P16" s="122"/>
      <c r="Q16" s="142">
        <f t="shared" si="5"/>
        <v>0</v>
      </c>
      <c r="R16" s="121" t="e">
        <f t="shared" si="6"/>
        <v>#DIV/0!</v>
      </c>
      <c r="S16" s="122"/>
      <c r="T16" s="122"/>
      <c r="U16" s="142">
        <f t="shared" si="7"/>
        <v>0</v>
      </c>
      <c r="V16" s="121" t="e">
        <f t="shared" si="8"/>
        <v>#DIV/0!</v>
      </c>
    </row>
    <row r="17" spans="1:26" ht="15.75" x14ac:dyDescent="0.25">
      <c r="A17" s="296"/>
      <c r="B17" s="97" t="s">
        <v>59</v>
      </c>
      <c r="C17" s="100"/>
      <c r="D17" s="122"/>
      <c r="E17" s="122"/>
      <c r="F17" s="123">
        <f t="shared" si="15"/>
        <v>0</v>
      </c>
      <c r="G17" s="110">
        <f t="shared" si="1"/>
        <v>0</v>
      </c>
      <c r="H17" s="122"/>
      <c r="I17" s="122"/>
      <c r="J17" s="142">
        <f t="shared" si="2"/>
        <v>0</v>
      </c>
      <c r="K17" s="122"/>
      <c r="L17" s="125"/>
      <c r="M17" s="101">
        <f t="shared" si="3"/>
        <v>0</v>
      </c>
      <c r="N17" s="117" t="e">
        <f>M17*100/G17</f>
        <v>#DIV/0!</v>
      </c>
      <c r="O17" s="122"/>
      <c r="P17" s="122"/>
      <c r="Q17" s="142">
        <v>0</v>
      </c>
      <c r="R17" s="121" t="e">
        <f t="shared" si="6"/>
        <v>#DIV/0!</v>
      </c>
      <c r="S17" s="122"/>
      <c r="T17" s="122"/>
      <c r="U17" s="142">
        <f t="shared" si="7"/>
        <v>0</v>
      </c>
      <c r="V17" s="121" t="e">
        <f t="shared" si="8"/>
        <v>#DIV/0!</v>
      </c>
    </row>
    <row r="18" spans="1:26" ht="15.75" x14ac:dyDescent="0.25">
      <c r="A18" s="296"/>
      <c r="B18" s="97" t="s">
        <v>60</v>
      </c>
      <c r="C18" s="100"/>
      <c r="D18" s="122"/>
      <c r="E18" s="122"/>
      <c r="F18" s="123">
        <f t="shared" si="15"/>
        <v>0</v>
      </c>
      <c r="G18" s="110">
        <f t="shared" si="1"/>
        <v>0</v>
      </c>
      <c r="H18" s="122"/>
      <c r="I18" s="122"/>
      <c r="J18" s="142">
        <f t="shared" si="2"/>
        <v>0</v>
      </c>
      <c r="K18" s="122"/>
      <c r="L18" s="125"/>
      <c r="M18" s="101">
        <f t="shared" si="3"/>
        <v>0</v>
      </c>
      <c r="N18" s="117" t="e">
        <f t="shared" si="4"/>
        <v>#DIV/0!</v>
      </c>
      <c r="O18" s="122"/>
      <c r="P18" s="122"/>
      <c r="Q18" s="142">
        <f t="shared" si="5"/>
        <v>0</v>
      </c>
      <c r="R18" s="121" t="e">
        <f t="shared" si="6"/>
        <v>#DIV/0!</v>
      </c>
      <c r="S18" s="122"/>
      <c r="T18" s="122"/>
      <c r="U18" s="142">
        <f t="shared" si="7"/>
        <v>0</v>
      </c>
      <c r="V18" s="121" t="e">
        <f t="shared" si="8"/>
        <v>#DIV/0!</v>
      </c>
    </row>
    <row r="19" spans="1:26" ht="15.75" x14ac:dyDescent="0.25">
      <c r="A19" s="296"/>
      <c r="B19" s="97" t="s">
        <v>69</v>
      </c>
      <c r="C19" s="100"/>
      <c r="D19" s="122"/>
      <c r="E19" s="122"/>
      <c r="F19" s="123">
        <f t="shared" si="15"/>
        <v>0</v>
      </c>
      <c r="G19" s="110">
        <f t="shared" si="1"/>
        <v>0</v>
      </c>
      <c r="H19" s="122"/>
      <c r="I19" s="122"/>
      <c r="J19" s="142">
        <f t="shared" si="2"/>
        <v>0</v>
      </c>
      <c r="K19" s="122"/>
      <c r="L19" s="125"/>
      <c r="M19" s="101">
        <f t="shared" si="3"/>
        <v>0</v>
      </c>
      <c r="N19" s="117" t="e">
        <f>M19*100/G19</f>
        <v>#DIV/0!</v>
      </c>
      <c r="O19" s="122"/>
      <c r="P19" s="122"/>
      <c r="Q19" s="142">
        <f t="shared" si="5"/>
        <v>0</v>
      </c>
      <c r="R19" s="121" t="e">
        <f t="shared" si="6"/>
        <v>#DIV/0!</v>
      </c>
      <c r="S19" s="122"/>
      <c r="T19" s="122"/>
      <c r="U19" s="142">
        <f t="shared" si="7"/>
        <v>0</v>
      </c>
      <c r="V19" s="121" t="e">
        <f t="shared" si="8"/>
        <v>#DIV/0!</v>
      </c>
    </row>
    <row r="20" spans="1:26" ht="15.75" x14ac:dyDescent="0.25">
      <c r="A20" s="296"/>
      <c r="B20" s="97" t="s">
        <v>70</v>
      </c>
      <c r="C20" s="100"/>
      <c r="D20" s="122"/>
      <c r="E20" s="122"/>
      <c r="F20" s="123">
        <f t="shared" si="15"/>
        <v>0</v>
      </c>
      <c r="G20" s="110">
        <f t="shared" si="1"/>
        <v>0</v>
      </c>
      <c r="H20" s="122"/>
      <c r="I20" s="122"/>
      <c r="J20" s="142">
        <f t="shared" si="2"/>
        <v>0</v>
      </c>
      <c r="K20" s="122"/>
      <c r="L20" s="125"/>
      <c r="M20" s="101">
        <f t="shared" si="3"/>
        <v>0</v>
      </c>
      <c r="N20" s="117" t="e">
        <f>M20*100/G20</f>
        <v>#DIV/0!</v>
      </c>
      <c r="O20" s="122"/>
      <c r="P20" s="122"/>
      <c r="Q20" s="142">
        <f t="shared" si="5"/>
        <v>0</v>
      </c>
      <c r="R20" s="121" t="e">
        <f t="shared" si="6"/>
        <v>#DIV/0!</v>
      </c>
      <c r="S20" s="122"/>
      <c r="T20" s="122"/>
      <c r="U20" s="142">
        <f t="shared" si="7"/>
        <v>0</v>
      </c>
      <c r="V20" s="121" t="e">
        <f t="shared" si="8"/>
        <v>#DIV/0!</v>
      </c>
    </row>
    <row r="21" spans="1:26" ht="16.5" thickBot="1" x14ac:dyDescent="0.3">
      <c r="A21" s="296"/>
      <c r="B21" s="98" t="s">
        <v>71</v>
      </c>
      <c r="C21" s="229"/>
      <c r="D21" s="122"/>
      <c r="E21" s="122"/>
      <c r="F21" s="123">
        <f t="shared" si="15"/>
        <v>0</v>
      </c>
      <c r="G21" s="111">
        <f t="shared" si="1"/>
        <v>0</v>
      </c>
      <c r="H21" s="122"/>
      <c r="I21" s="122"/>
      <c r="J21" s="143">
        <f t="shared" si="2"/>
        <v>0</v>
      </c>
      <c r="K21" s="122"/>
      <c r="L21" s="125"/>
      <c r="M21" s="106">
        <f t="shared" si="3"/>
        <v>0</v>
      </c>
      <c r="N21" s="118" t="e">
        <f t="shared" si="4"/>
        <v>#DIV/0!</v>
      </c>
      <c r="O21" s="122"/>
      <c r="P21" s="122"/>
      <c r="Q21" s="143">
        <f t="shared" si="5"/>
        <v>0</v>
      </c>
      <c r="R21" s="148" t="e">
        <f t="shared" si="6"/>
        <v>#DIV/0!</v>
      </c>
      <c r="S21" s="122"/>
      <c r="T21" s="122"/>
      <c r="U21" s="143">
        <f t="shared" si="7"/>
        <v>0</v>
      </c>
      <c r="V21" s="148" t="e">
        <f t="shared" si="8"/>
        <v>#DIV/0!</v>
      </c>
    </row>
    <row r="22" spans="1:26" ht="48" thickBot="1" x14ac:dyDescent="0.3">
      <c r="A22" s="296"/>
      <c r="B22" s="103" t="s">
        <v>88</v>
      </c>
      <c r="C22" s="108">
        <f t="shared" ref="C22:L22" si="16">C14+C15+C16+C17+C18+C19+C20+C21</f>
        <v>0</v>
      </c>
      <c r="D22" s="108">
        <f t="shared" si="16"/>
        <v>0</v>
      </c>
      <c r="E22" s="109">
        <f>E14+E15+E16+E17+E18+E19+E20+E21</f>
        <v>0</v>
      </c>
      <c r="F22" s="109">
        <f>SUM( D22:E22)</f>
        <v>0</v>
      </c>
      <c r="G22" s="112">
        <f t="shared" si="1"/>
        <v>0</v>
      </c>
      <c r="H22" s="108">
        <f>SUM(H14:H21)</f>
        <v>0</v>
      </c>
      <c r="I22" s="112">
        <f t="shared" si="16"/>
        <v>0</v>
      </c>
      <c r="J22" s="146">
        <f t="shared" si="2"/>
        <v>0</v>
      </c>
      <c r="K22" s="114">
        <f t="shared" si="16"/>
        <v>0</v>
      </c>
      <c r="L22" s="109">
        <f t="shared" si="16"/>
        <v>0</v>
      </c>
      <c r="M22" s="109">
        <f t="shared" si="3"/>
        <v>0</v>
      </c>
      <c r="N22" s="119" t="e">
        <f>M22*100/G22</f>
        <v>#DIV/0!</v>
      </c>
      <c r="O22" s="108">
        <f t="shared" ref="O22:P22" si="17">O14+O15+O16+O17+O18+O19+O20+O21</f>
        <v>0</v>
      </c>
      <c r="P22" s="112">
        <f t="shared" si="17"/>
        <v>0</v>
      </c>
      <c r="Q22" s="146">
        <f t="shared" si="5"/>
        <v>0</v>
      </c>
      <c r="R22" s="150" t="e">
        <f t="shared" si="6"/>
        <v>#DIV/0!</v>
      </c>
      <c r="S22" s="108">
        <f t="shared" ref="S22:T22" si="18">S14+S15+S16+S17+S18+S19+S20+S21</f>
        <v>0</v>
      </c>
      <c r="T22" s="112">
        <f t="shared" si="18"/>
        <v>0</v>
      </c>
      <c r="U22" s="146">
        <f t="shared" si="7"/>
        <v>0</v>
      </c>
      <c r="V22" s="150" t="e">
        <f t="shared" si="8"/>
        <v>#DIV/0!</v>
      </c>
    </row>
    <row r="23" spans="1:26" ht="37.5" customHeight="1" thickBot="1" x14ac:dyDescent="0.3">
      <c r="A23" s="297"/>
      <c r="B23" s="168" t="s">
        <v>72</v>
      </c>
      <c r="C23" s="152">
        <f>C13+C22</f>
        <v>3</v>
      </c>
      <c r="D23" s="115">
        <f>D13+D22</f>
        <v>23</v>
      </c>
      <c r="E23" s="107">
        <f t="shared" ref="E23:L23" si="19">E13+E22</f>
        <v>28</v>
      </c>
      <c r="F23" s="107">
        <f>SUM( D23:E23)</f>
        <v>51</v>
      </c>
      <c r="G23" s="113">
        <f t="shared" si="1"/>
        <v>51</v>
      </c>
      <c r="H23" s="116">
        <f t="shared" si="19"/>
        <v>0</v>
      </c>
      <c r="I23" s="113">
        <f t="shared" si="19"/>
        <v>0</v>
      </c>
      <c r="J23" s="152">
        <f t="shared" si="2"/>
        <v>0</v>
      </c>
      <c r="K23" s="115">
        <f t="shared" si="19"/>
        <v>20</v>
      </c>
      <c r="L23" s="107">
        <f t="shared" si="19"/>
        <v>28</v>
      </c>
      <c r="M23" s="107">
        <f t="shared" si="3"/>
        <v>48</v>
      </c>
      <c r="N23" s="120">
        <f>M23*100/G23</f>
        <v>94.117647058823536</v>
      </c>
      <c r="O23" s="116">
        <f t="shared" ref="O23:P23" si="20">O13+O22</f>
        <v>2</v>
      </c>
      <c r="P23" s="113">
        <f t="shared" si="20"/>
        <v>0</v>
      </c>
      <c r="Q23" s="152">
        <f t="shared" si="5"/>
        <v>2</v>
      </c>
      <c r="R23" s="153">
        <f t="shared" si="6"/>
        <v>3.9215686274509802</v>
      </c>
      <c r="S23" s="116">
        <f>S13+S22</f>
        <v>1</v>
      </c>
      <c r="T23" s="113">
        <f>T13+T22</f>
        <v>0</v>
      </c>
      <c r="U23" s="152">
        <f t="shared" si="7"/>
        <v>1</v>
      </c>
      <c r="V23" s="153">
        <f t="shared" si="8"/>
        <v>1.9607843137254901</v>
      </c>
      <c r="Z23" s="102"/>
    </row>
    <row r="24" spans="1:26" ht="15.75" x14ac:dyDescent="0.25">
      <c r="A24" s="2"/>
      <c r="B24" s="4"/>
      <c r="C24" s="4"/>
    </row>
    <row r="25" spans="1:26" ht="15.75" x14ac:dyDescent="0.25">
      <c r="A25" s="2"/>
      <c r="B25" s="4"/>
      <c r="C25" s="4"/>
    </row>
  </sheetData>
  <sheetProtection formatColumns="0"/>
  <mergeCells count="7">
    <mergeCell ref="O7:R7"/>
    <mergeCell ref="S7:V7"/>
    <mergeCell ref="A8:A23"/>
    <mergeCell ref="D7:F7"/>
    <mergeCell ref="G7:G8"/>
    <mergeCell ref="H7:J7"/>
    <mergeCell ref="K7:N7"/>
  </mergeCells>
  <pageMargins left="0.70866141732283472" right="0.70866141732283472" top="0.74803149606299213" bottom="0.74803149606299213" header="0.31496062992125984" footer="0.31496062992125984"/>
  <pageSetup paperSize="9" scale="90" orientation="landscape" horizontalDpi="4294967293" r:id="rId1"/>
  <rowBreaks count="1" manualBreakCount="1">
    <brk id="23" max="2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J17"/>
  <sheetViews>
    <sheetView workbookViewId="0">
      <selection activeCell="B30" sqref="B30"/>
    </sheetView>
  </sheetViews>
  <sheetFormatPr baseColWidth="10" defaultRowHeight="15" x14ac:dyDescent="0.25"/>
  <cols>
    <col min="2" max="2" width="10" style="259" bestFit="1" customWidth="1"/>
    <col min="3" max="3" width="24.28515625" style="259" bestFit="1" customWidth="1"/>
    <col min="4" max="4" width="5.85546875" style="259" bestFit="1" customWidth="1"/>
    <col min="5" max="5" width="8.7109375" style="259" bestFit="1" customWidth="1"/>
    <col min="6" max="6" width="10.85546875" style="259" bestFit="1" customWidth="1"/>
    <col min="7" max="7" width="9.7109375" style="259" bestFit="1" customWidth="1"/>
    <col min="8" max="8" width="8" style="259" bestFit="1" customWidth="1"/>
    <col min="9" max="9" width="5.28515625" bestFit="1" customWidth="1"/>
    <col min="10" max="10" width="5.85546875" style="259" bestFit="1" customWidth="1"/>
  </cols>
  <sheetData>
    <row r="1" spans="1:10" ht="18" x14ac:dyDescent="0.25">
      <c r="A1" s="305" t="s">
        <v>158</v>
      </c>
      <c r="B1" s="305"/>
      <c r="C1" s="305"/>
      <c r="D1" s="305"/>
    </row>
    <row r="2" spans="1:10" x14ac:dyDescent="0.25">
      <c r="A2" s="3"/>
    </row>
    <row r="4" spans="1:10" ht="15.75" thickBot="1" x14ac:dyDescent="0.3"/>
    <row r="5" spans="1:10" ht="26.25" thickBot="1" x14ac:dyDescent="0.3">
      <c r="A5" s="62" t="s">
        <v>5</v>
      </c>
      <c r="B5" s="63" t="s">
        <v>6</v>
      </c>
      <c r="C5" s="63" t="s">
        <v>7</v>
      </c>
      <c r="D5" s="63" t="s">
        <v>120</v>
      </c>
      <c r="E5" s="63" t="s">
        <v>155</v>
      </c>
      <c r="F5" s="63" t="s">
        <v>9</v>
      </c>
      <c r="G5" s="63" t="s">
        <v>236</v>
      </c>
      <c r="H5" s="63" t="s">
        <v>10</v>
      </c>
      <c r="I5" s="63" t="s">
        <v>11</v>
      </c>
      <c r="J5" s="64" t="s">
        <v>12</v>
      </c>
    </row>
    <row r="6" spans="1:10" x14ac:dyDescent="0.25">
      <c r="A6" s="181" t="s">
        <v>53</v>
      </c>
      <c r="B6" s="260" t="s">
        <v>271</v>
      </c>
      <c r="C6" s="263" t="s">
        <v>272</v>
      </c>
      <c r="D6" s="260" t="s">
        <v>4</v>
      </c>
      <c r="E6" s="266">
        <v>42288</v>
      </c>
      <c r="F6" s="260" t="s">
        <v>273</v>
      </c>
      <c r="G6" s="260" t="s">
        <v>274</v>
      </c>
      <c r="H6" s="260">
        <v>17.53</v>
      </c>
      <c r="I6" s="182" t="s">
        <v>142</v>
      </c>
      <c r="J6" s="269" t="s">
        <v>275</v>
      </c>
    </row>
    <row r="7" spans="1:10" x14ac:dyDescent="0.25">
      <c r="A7" s="65" t="s">
        <v>104</v>
      </c>
      <c r="B7" s="259" t="s">
        <v>277</v>
      </c>
      <c r="C7" s="261" t="s">
        <v>276</v>
      </c>
      <c r="D7" s="261" t="s">
        <v>4</v>
      </c>
      <c r="E7" s="267">
        <v>41801</v>
      </c>
      <c r="F7" s="261" t="s">
        <v>273</v>
      </c>
      <c r="G7" s="261" t="s">
        <v>274</v>
      </c>
      <c r="H7" s="261">
        <v>16.05</v>
      </c>
      <c r="I7" s="60" t="s">
        <v>142</v>
      </c>
      <c r="J7" s="270" t="s">
        <v>278</v>
      </c>
    </row>
    <row r="8" spans="1:10" x14ac:dyDescent="0.25">
      <c r="A8" s="65" t="s">
        <v>54</v>
      </c>
      <c r="B8" s="261" t="s">
        <v>279</v>
      </c>
      <c r="C8" s="264" t="s">
        <v>280</v>
      </c>
      <c r="D8" s="261" t="s">
        <v>4</v>
      </c>
      <c r="E8" s="267">
        <v>41062</v>
      </c>
      <c r="F8" s="261" t="s">
        <v>273</v>
      </c>
      <c r="G8" s="261" t="s">
        <v>274</v>
      </c>
      <c r="H8" s="261">
        <v>15.47</v>
      </c>
      <c r="I8" s="60" t="s">
        <v>142</v>
      </c>
      <c r="J8" s="270" t="s">
        <v>281</v>
      </c>
    </row>
    <row r="9" spans="1:10" x14ac:dyDescent="0.25">
      <c r="A9" s="65" t="s">
        <v>55</v>
      </c>
      <c r="B9" s="261"/>
      <c r="C9" s="264"/>
      <c r="D9" s="261"/>
      <c r="E9" s="267"/>
      <c r="F9" s="261"/>
      <c r="G9" s="261"/>
      <c r="H9" s="261"/>
      <c r="I9" s="60"/>
      <c r="J9" s="270"/>
    </row>
    <row r="10" spans="1:10" x14ac:dyDescent="0.25">
      <c r="A10" s="65" t="s">
        <v>105</v>
      </c>
      <c r="B10" s="261"/>
      <c r="C10" s="264"/>
      <c r="D10" s="261"/>
      <c r="E10" s="267"/>
      <c r="F10" s="261"/>
      <c r="G10" s="261"/>
      <c r="H10" s="261"/>
      <c r="I10" s="60"/>
      <c r="J10" s="270"/>
    </row>
    <row r="11" spans="1:10" x14ac:dyDescent="0.25">
      <c r="A11" s="65" t="s">
        <v>106</v>
      </c>
      <c r="B11" s="261"/>
      <c r="C11" s="264"/>
      <c r="D11" s="261"/>
      <c r="E11" s="267"/>
      <c r="F11" s="261"/>
      <c r="G11" s="261"/>
      <c r="H11" s="261"/>
      <c r="I11" s="60"/>
      <c r="J11" s="270"/>
    </row>
    <row r="12" spans="1:10" x14ac:dyDescent="0.25">
      <c r="A12" s="65" t="s">
        <v>119</v>
      </c>
      <c r="B12" s="261"/>
      <c r="C12" s="264"/>
      <c r="D12" s="261"/>
      <c r="E12" s="267"/>
      <c r="F12" s="261"/>
      <c r="G12" s="261"/>
      <c r="H12" s="261"/>
      <c r="I12" s="60"/>
      <c r="J12" s="270"/>
    </row>
    <row r="13" spans="1:10" x14ac:dyDescent="0.25">
      <c r="A13" s="65" t="s">
        <v>167</v>
      </c>
      <c r="B13" s="261"/>
      <c r="C13" s="264"/>
      <c r="D13" s="261"/>
      <c r="E13" s="267"/>
      <c r="F13" s="261"/>
      <c r="G13" s="261"/>
      <c r="H13" s="261"/>
      <c r="I13" s="60"/>
      <c r="J13" s="270"/>
    </row>
    <row r="14" spans="1:10" x14ac:dyDescent="0.25">
      <c r="A14" s="65" t="s">
        <v>107</v>
      </c>
      <c r="B14" s="261"/>
      <c r="C14" s="264"/>
      <c r="D14" s="261"/>
      <c r="E14" s="267"/>
      <c r="F14" s="261"/>
      <c r="G14" s="261"/>
      <c r="H14" s="261"/>
      <c r="I14" s="60"/>
      <c r="J14" s="270"/>
    </row>
    <row r="15" spans="1:10" x14ac:dyDescent="0.25">
      <c r="A15" s="65" t="s">
        <v>61</v>
      </c>
      <c r="B15" s="261"/>
      <c r="C15" s="264"/>
      <c r="D15" s="261"/>
      <c r="E15" s="267"/>
      <c r="F15" s="261"/>
      <c r="G15" s="261"/>
      <c r="H15" s="261"/>
      <c r="I15" s="60"/>
      <c r="J15" s="270"/>
    </row>
    <row r="16" spans="1:10" x14ac:dyDescent="0.25">
      <c r="A16" s="65" t="s">
        <v>168</v>
      </c>
      <c r="B16" s="261"/>
      <c r="C16" s="264"/>
      <c r="D16" s="261"/>
      <c r="E16" s="267"/>
      <c r="F16" s="261"/>
      <c r="G16" s="261"/>
      <c r="H16" s="261"/>
      <c r="I16" s="60"/>
      <c r="J16" s="270"/>
    </row>
    <row r="17" spans="1:10" ht="15.75" thickBot="1" x14ac:dyDescent="0.3">
      <c r="A17" s="66" t="s">
        <v>62</v>
      </c>
      <c r="B17" s="262"/>
      <c r="C17" s="265"/>
      <c r="D17" s="262"/>
      <c r="E17" s="268"/>
      <c r="F17" s="262"/>
      <c r="G17" s="262"/>
      <c r="H17" s="262"/>
      <c r="I17" s="61"/>
      <c r="J17" s="271"/>
    </row>
  </sheetData>
  <mergeCells count="1">
    <mergeCell ref="A1:D1"/>
  </mergeCells>
  <printOptions horizontalCentered="1" verticalCentered="1"/>
  <pageMargins left="0.70866141732283472" right="0.70866141732283472" top="0.35433070866141736" bottom="0.74803149606299213" header="0.31496062992125984" footer="0.31496062992125984"/>
  <pageSetup paperSize="9" scale="11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B1:X21"/>
  <sheetViews>
    <sheetView zoomScaleNormal="100" workbookViewId="0">
      <selection activeCell="C2" sqref="C2:S11"/>
    </sheetView>
  </sheetViews>
  <sheetFormatPr baseColWidth="10" defaultRowHeight="15" x14ac:dyDescent="0.25"/>
  <cols>
    <col min="1" max="1" width="0.5703125" customWidth="1"/>
    <col min="2" max="2" width="4.42578125" customWidth="1"/>
    <col min="3" max="3" width="14.28515625" customWidth="1"/>
    <col min="4" max="4" width="4.28515625" customWidth="1"/>
    <col min="5" max="6" width="3.28515625" bestFit="1" customWidth="1"/>
    <col min="7" max="7" width="2.5703125" bestFit="1" customWidth="1"/>
    <col min="8" max="8" width="8.42578125" bestFit="1" customWidth="1"/>
    <col min="9" max="9" width="3.28515625" bestFit="1" customWidth="1"/>
    <col min="10" max="14" width="8.42578125" bestFit="1" customWidth="1"/>
    <col min="15" max="15" width="8.42578125" customWidth="1"/>
    <col min="16" max="18" width="8.42578125" bestFit="1" customWidth="1"/>
    <col min="19" max="19" width="12.7109375" customWidth="1"/>
  </cols>
  <sheetData>
    <row r="1" spans="2:20" ht="18" x14ac:dyDescent="0.25">
      <c r="B1" s="7" t="s">
        <v>13</v>
      </c>
    </row>
    <row r="2" spans="2:20" x14ac:dyDescent="0.25">
      <c r="B2" s="169"/>
      <c r="C2" s="170"/>
      <c r="D2" s="170"/>
      <c r="E2" s="170"/>
      <c r="F2" s="87"/>
    </row>
    <row r="3" spans="2:20" x14ac:dyDescent="0.25">
      <c r="B3" s="9" t="s">
        <v>163</v>
      </c>
    </row>
    <row r="4" spans="2:20" ht="15.75" thickBot="1" x14ac:dyDescent="0.3"/>
    <row r="5" spans="2:20" ht="20.100000000000001" customHeight="1" thickBot="1" x14ac:dyDescent="0.3">
      <c r="C5" s="30"/>
      <c r="D5" s="31"/>
      <c r="E5" s="315" t="s">
        <v>89</v>
      </c>
      <c r="F5" s="316"/>
      <c r="G5" s="316"/>
      <c r="H5" s="316"/>
      <c r="I5" s="317"/>
      <c r="J5" s="315" t="s">
        <v>51</v>
      </c>
      <c r="K5" s="316"/>
      <c r="L5" s="316"/>
      <c r="M5" s="316"/>
      <c r="N5" s="316"/>
      <c r="O5" s="316"/>
      <c r="P5" s="316"/>
      <c r="Q5" s="316"/>
      <c r="R5" s="317"/>
      <c r="S5" s="306" t="s">
        <v>52</v>
      </c>
    </row>
    <row r="6" spans="2:20" ht="32.1" customHeight="1" thickBot="1" x14ac:dyDescent="0.3">
      <c r="C6" s="30"/>
      <c r="D6" s="31"/>
      <c r="E6" s="32" t="s">
        <v>90</v>
      </c>
      <c r="F6" s="32" t="s">
        <v>91</v>
      </c>
      <c r="G6" s="32" t="s">
        <v>92</v>
      </c>
      <c r="H6" s="32" t="s">
        <v>93</v>
      </c>
      <c r="I6" s="32" t="s">
        <v>63</v>
      </c>
      <c r="J6" s="33" t="s">
        <v>94</v>
      </c>
      <c r="K6" s="33" t="s">
        <v>95</v>
      </c>
      <c r="L6" s="32" t="s">
        <v>96</v>
      </c>
      <c r="M6" s="32" t="s">
        <v>97</v>
      </c>
      <c r="N6" s="32" t="s">
        <v>98</v>
      </c>
      <c r="O6" s="33" t="s">
        <v>69</v>
      </c>
      <c r="P6" s="33" t="s">
        <v>70</v>
      </c>
      <c r="Q6" s="33" t="s">
        <v>71</v>
      </c>
      <c r="R6" s="32" t="s">
        <v>63</v>
      </c>
      <c r="S6" s="307"/>
    </row>
    <row r="7" spans="2:20" ht="37.5" customHeight="1" x14ac:dyDescent="0.25">
      <c r="B7" s="308" t="s">
        <v>162</v>
      </c>
      <c r="C7" s="311" t="s">
        <v>99</v>
      </c>
      <c r="D7" s="312"/>
      <c r="E7" s="244">
        <v>1</v>
      </c>
      <c r="F7" s="244">
        <v>1</v>
      </c>
      <c r="G7" s="244">
        <v>1</v>
      </c>
      <c r="H7" s="244"/>
      <c r="I7" s="245">
        <f>SUM(E7:H7)</f>
        <v>3</v>
      </c>
      <c r="J7" s="244"/>
      <c r="K7" s="244"/>
      <c r="L7" s="244"/>
      <c r="M7" s="244"/>
      <c r="N7" s="244"/>
      <c r="O7" s="244"/>
      <c r="P7" s="244"/>
      <c r="Q7" s="244"/>
      <c r="R7" s="245">
        <f>SUM(J7:Q7)</f>
        <v>0</v>
      </c>
      <c r="S7" s="245">
        <f>I7+R7</f>
        <v>3</v>
      </c>
    </row>
    <row r="8" spans="2:20" ht="24.75" customHeight="1" thickBot="1" x14ac:dyDescent="0.3">
      <c r="B8" s="309"/>
      <c r="C8" s="318" t="s">
        <v>101</v>
      </c>
      <c r="D8" s="34" t="s">
        <v>3</v>
      </c>
      <c r="E8" s="246">
        <v>13</v>
      </c>
      <c r="F8" s="246">
        <v>7</v>
      </c>
      <c r="G8" s="246">
        <v>3</v>
      </c>
      <c r="H8" s="246"/>
      <c r="I8" s="245">
        <f t="shared" ref="I8:I9" si="0">SUM(E8:H8)</f>
        <v>23</v>
      </c>
      <c r="J8" s="244"/>
      <c r="K8" s="244"/>
      <c r="L8" s="244"/>
      <c r="M8" s="244"/>
      <c r="N8" s="244"/>
      <c r="O8" s="244"/>
      <c r="P8" s="244"/>
      <c r="Q8" s="244"/>
      <c r="R8" s="245">
        <f t="shared" ref="R8:R9" si="1">SUM(J8:Q8)</f>
        <v>0</v>
      </c>
      <c r="S8" s="245">
        <f t="shared" ref="S8:S9" si="2">I8+R8</f>
        <v>23</v>
      </c>
      <c r="T8" t="s">
        <v>166</v>
      </c>
    </row>
    <row r="9" spans="2:20" ht="29.25" customHeight="1" thickBot="1" x14ac:dyDescent="0.3">
      <c r="B9" s="309"/>
      <c r="C9" s="318"/>
      <c r="D9" s="34" t="s">
        <v>4</v>
      </c>
      <c r="E9" s="246">
        <v>15</v>
      </c>
      <c r="F9" s="246">
        <v>10</v>
      </c>
      <c r="G9" s="246">
        <v>3</v>
      </c>
      <c r="H9" s="246"/>
      <c r="I9" s="245">
        <f t="shared" si="0"/>
        <v>28</v>
      </c>
      <c r="J9" s="244"/>
      <c r="K9" s="244"/>
      <c r="L9" s="244"/>
      <c r="M9" s="244"/>
      <c r="N9" s="244"/>
      <c r="O9" s="244"/>
      <c r="P9" s="244"/>
      <c r="Q9" s="244"/>
      <c r="R9" s="245">
        <f t="shared" si="1"/>
        <v>0</v>
      </c>
      <c r="S9" s="245">
        <f t="shared" si="2"/>
        <v>28</v>
      </c>
    </row>
    <row r="10" spans="2:20" ht="31.5" customHeight="1" thickBot="1" x14ac:dyDescent="0.3">
      <c r="B10" s="309"/>
      <c r="C10" s="319"/>
      <c r="D10" s="34" t="s">
        <v>63</v>
      </c>
      <c r="E10" s="247">
        <f>E8+E9</f>
        <v>28</v>
      </c>
      <c r="F10" s="247">
        <f t="shared" ref="F10:S10" si="3">F8+F9</f>
        <v>17</v>
      </c>
      <c r="G10" s="247">
        <f t="shared" si="3"/>
        <v>6</v>
      </c>
      <c r="H10" s="247">
        <f t="shared" si="3"/>
        <v>0</v>
      </c>
      <c r="I10" s="247">
        <f t="shared" si="3"/>
        <v>51</v>
      </c>
      <c r="J10" s="247">
        <f t="shared" si="3"/>
        <v>0</v>
      </c>
      <c r="K10" s="247">
        <f t="shared" si="3"/>
        <v>0</v>
      </c>
      <c r="L10" s="247">
        <f t="shared" si="3"/>
        <v>0</v>
      </c>
      <c r="M10" s="247">
        <f t="shared" si="3"/>
        <v>0</v>
      </c>
      <c r="N10" s="247">
        <f t="shared" si="3"/>
        <v>0</v>
      </c>
      <c r="O10" s="247">
        <f t="shared" si="3"/>
        <v>0</v>
      </c>
      <c r="P10" s="247">
        <f t="shared" si="3"/>
        <v>0</v>
      </c>
      <c r="Q10" s="247">
        <f t="shared" si="3"/>
        <v>0</v>
      </c>
      <c r="R10" s="247">
        <f t="shared" si="3"/>
        <v>0</v>
      </c>
      <c r="S10" s="247">
        <f t="shared" si="3"/>
        <v>51</v>
      </c>
    </row>
    <row r="11" spans="2:20" ht="37.5" customHeight="1" thickBot="1" x14ac:dyDescent="0.3">
      <c r="B11" s="310"/>
      <c r="C11" s="313" t="s">
        <v>100</v>
      </c>
      <c r="D11" s="314"/>
      <c r="E11" s="248">
        <f>E10/E7</f>
        <v>28</v>
      </c>
      <c r="F11" s="248">
        <f t="shared" ref="F11:S11" si="4">F10/F7</f>
        <v>17</v>
      </c>
      <c r="G11" s="248">
        <f t="shared" si="4"/>
        <v>6</v>
      </c>
      <c r="H11" s="248" t="e">
        <f t="shared" si="4"/>
        <v>#DIV/0!</v>
      </c>
      <c r="I11" s="248">
        <f t="shared" si="4"/>
        <v>17</v>
      </c>
      <c r="J11" s="248" t="e">
        <f t="shared" si="4"/>
        <v>#DIV/0!</v>
      </c>
      <c r="K11" s="248" t="e">
        <f t="shared" si="4"/>
        <v>#DIV/0!</v>
      </c>
      <c r="L11" s="248" t="e">
        <f t="shared" si="4"/>
        <v>#DIV/0!</v>
      </c>
      <c r="M11" s="248" t="e">
        <f t="shared" si="4"/>
        <v>#DIV/0!</v>
      </c>
      <c r="N11" s="248" t="e">
        <f t="shared" si="4"/>
        <v>#DIV/0!</v>
      </c>
      <c r="O11" s="248" t="e">
        <f t="shared" si="4"/>
        <v>#DIV/0!</v>
      </c>
      <c r="P11" s="248" t="e">
        <f t="shared" si="4"/>
        <v>#DIV/0!</v>
      </c>
      <c r="Q11" s="248" t="e">
        <f t="shared" si="4"/>
        <v>#DIV/0!</v>
      </c>
      <c r="R11" s="248" t="e">
        <f t="shared" si="4"/>
        <v>#DIV/0!</v>
      </c>
      <c r="S11" s="248">
        <f t="shared" si="4"/>
        <v>17</v>
      </c>
    </row>
    <row r="20" spans="2:24" ht="18" x14ac:dyDescent="0.25">
      <c r="B20" s="167"/>
    </row>
    <row r="21" spans="2:24" x14ac:dyDescent="0.25">
      <c r="X21" s="3"/>
    </row>
  </sheetData>
  <mergeCells count="7">
    <mergeCell ref="S5:S6"/>
    <mergeCell ref="B7:B11"/>
    <mergeCell ref="C7:D7"/>
    <mergeCell ref="C11:D11"/>
    <mergeCell ref="E5:I5"/>
    <mergeCell ref="J5:R5"/>
    <mergeCell ref="C8:C10"/>
  </mergeCells>
  <printOptions horizontalCentered="1" verticalCentered="1"/>
  <pageMargins left="0.70866141732283472" right="0.70866141732283472" top="0.15748031496062992" bottom="0.74803149606299213" header="0.31496062992125984" footer="0.31496062992125984"/>
  <pageSetup scale="9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O81"/>
  <sheetViews>
    <sheetView topLeftCell="A64" zoomScaleNormal="100" workbookViewId="0">
      <selection sqref="A1:O81"/>
    </sheetView>
  </sheetViews>
  <sheetFormatPr baseColWidth="10" defaultRowHeight="15" x14ac:dyDescent="0.25"/>
  <cols>
    <col min="1" max="1" width="15.85546875" customWidth="1"/>
    <col min="2" max="2" width="11" customWidth="1"/>
    <col min="3" max="3" width="7.5703125" customWidth="1"/>
    <col min="4" max="5" width="7.85546875" customWidth="1"/>
    <col min="6" max="6" width="7.7109375" customWidth="1"/>
    <col min="7" max="7" width="7.85546875" customWidth="1"/>
    <col min="8" max="8" width="8.140625" customWidth="1"/>
    <col min="9" max="9" width="7.85546875" customWidth="1"/>
    <col min="10" max="10" width="8.140625" customWidth="1"/>
    <col min="11" max="11" width="7.7109375" customWidth="1"/>
    <col min="12" max="12" width="8.140625" customWidth="1"/>
    <col min="13" max="14" width="7.5703125" customWidth="1"/>
    <col min="15" max="15" width="10.140625" customWidth="1"/>
  </cols>
  <sheetData>
    <row r="1" spans="1:15" x14ac:dyDescent="0.25">
      <c r="A1" s="9" t="s">
        <v>195</v>
      </c>
    </row>
    <row r="2" spans="1:15" ht="15.75" thickBot="1" x14ac:dyDescent="0.3">
      <c r="A2" s="9"/>
    </row>
    <row r="3" spans="1:15" ht="19.5" thickBot="1" x14ac:dyDescent="0.3">
      <c r="A3" s="320" t="s">
        <v>174</v>
      </c>
      <c r="B3" s="320" t="s">
        <v>120</v>
      </c>
      <c r="C3" s="340" t="s">
        <v>89</v>
      </c>
      <c r="D3" s="341"/>
      <c r="E3" s="341"/>
      <c r="F3" s="342"/>
      <c r="G3" s="340" t="s">
        <v>51</v>
      </c>
      <c r="H3" s="341"/>
      <c r="I3" s="341"/>
      <c r="J3" s="341"/>
      <c r="K3" s="341"/>
      <c r="L3" s="341"/>
      <c r="M3" s="341"/>
      <c r="N3" s="342"/>
      <c r="O3" s="326" t="s">
        <v>175</v>
      </c>
    </row>
    <row r="4" spans="1:15" ht="15.75" customHeight="1" thickBot="1" x14ac:dyDescent="0.3">
      <c r="A4" s="322"/>
      <c r="B4" s="322"/>
      <c r="C4" s="57" t="s">
        <v>176</v>
      </c>
      <c r="D4" s="57" t="s">
        <v>177</v>
      </c>
      <c r="E4" s="57" t="s">
        <v>178</v>
      </c>
      <c r="F4" s="57" t="s">
        <v>179</v>
      </c>
      <c r="G4" s="57" t="s">
        <v>180</v>
      </c>
      <c r="H4" s="57" t="s">
        <v>181</v>
      </c>
      <c r="I4" s="57" t="s">
        <v>182</v>
      </c>
      <c r="J4" s="57" t="s">
        <v>183</v>
      </c>
      <c r="K4" s="57" t="s">
        <v>184</v>
      </c>
      <c r="L4" s="57" t="s">
        <v>69</v>
      </c>
      <c r="M4" s="57" t="s">
        <v>70</v>
      </c>
      <c r="N4" s="57" t="s">
        <v>71</v>
      </c>
      <c r="O4" s="327"/>
    </row>
    <row r="5" spans="1:15" ht="15.6" customHeight="1" thickBot="1" x14ac:dyDescent="0.3">
      <c r="A5" s="328" t="s">
        <v>185</v>
      </c>
      <c r="B5" s="197" t="s">
        <v>3</v>
      </c>
      <c r="C5" s="198"/>
      <c r="D5" s="198"/>
      <c r="E5" s="198"/>
      <c r="F5" s="198"/>
      <c r="G5" s="198"/>
      <c r="H5" s="198"/>
      <c r="I5" s="198"/>
      <c r="J5" s="198"/>
      <c r="K5" s="198"/>
      <c r="L5" s="198"/>
      <c r="M5" s="198"/>
      <c r="N5" s="199"/>
      <c r="O5" s="58">
        <f t="shared" ref="O5:O61" si="0">SUM(C5:N5)</f>
        <v>0</v>
      </c>
    </row>
    <row r="6" spans="1:15" ht="15.6" customHeight="1" thickBot="1" x14ac:dyDescent="0.3">
      <c r="A6" s="329"/>
      <c r="B6" s="200" t="s">
        <v>4</v>
      </c>
      <c r="C6" s="201"/>
      <c r="D6" s="201"/>
      <c r="E6" s="201"/>
      <c r="F6" s="201"/>
      <c r="G6" s="201"/>
      <c r="H6" s="201"/>
      <c r="I6" s="201"/>
      <c r="J6" s="201"/>
      <c r="K6" s="201"/>
      <c r="L6" s="201"/>
      <c r="M6" s="201"/>
      <c r="N6" s="202"/>
      <c r="O6" s="58">
        <f t="shared" si="0"/>
        <v>0</v>
      </c>
    </row>
    <row r="7" spans="1:15" ht="15.6" customHeight="1" thickBot="1" x14ac:dyDescent="0.3">
      <c r="A7" s="330"/>
      <c r="B7" s="203" t="s">
        <v>63</v>
      </c>
      <c r="C7" s="204">
        <f>SUM(C5:C6)</f>
        <v>0</v>
      </c>
      <c r="D7" s="204">
        <f t="shared" ref="D7:N7" si="1">SUM(D5:D6)</f>
        <v>0</v>
      </c>
      <c r="E7" s="204">
        <f t="shared" si="1"/>
        <v>0</v>
      </c>
      <c r="F7" s="204">
        <f t="shared" si="1"/>
        <v>0</v>
      </c>
      <c r="G7" s="204">
        <f t="shared" si="1"/>
        <v>0</v>
      </c>
      <c r="H7" s="204">
        <f t="shared" si="1"/>
        <v>0</v>
      </c>
      <c r="I7" s="204">
        <f t="shared" si="1"/>
        <v>0</v>
      </c>
      <c r="J7" s="204">
        <f t="shared" si="1"/>
        <v>0</v>
      </c>
      <c r="K7" s="204">
        <f t="shared" si="1"/>
        <v>0</v>
      </c>
      <c r="L7" s="204">
        <f t="shared" si="1"/>
        <v>0</v>
      </c>
      <c r="M7" s="204">
        <f t="shared" si="1"/>
        <v>0</v>
      </c>
      <c r="N7" s="204">
        <f t="shared" si="1"/>
        <v>0</v>
      </c>
      <c r="O7" s="58">
        <f t="shared" si="0"/>
        <v>0</v>
      </c>
    </row>
    <row r="8" spans="1:15" ht="15.95" customHeight="1" thickBot="1" x14ac:dyDescent="0.3">
      <c r="A8" s="331" t="s">
        <v>186</v>
      </c>
      <c r="B8" s="197" t="s">
        <v>3</v>
      </c>
      <c r="C8" s="198"/>
      <c r="D8" s="198"/>
      <c r="E8" s="198"/>
      <c r="F8" s="198"/>
      <c r="G8" s="198"/>
      <c r="H8" s="198"/>
      <c r="I8" s="198"/>
      <c r="J8" s="198"/>
      <c r="K8" s="198"/>
      <c r="L8" s="198"/>
      <c r="M8" s="198"/>
      <c r="N8" s="199"/>
      <c r="O8" s="58">
        <f t="shared" si="0"/>
        <v>0</v>
      </c>
    </row>
    <row r="9" spans="1:15" ht="27.75" customHeight="1" thickBot="1" x14ac:dyDescent="0.3">
      <c r="A9" s="332"/>
      <c r="B9" s="200" t="s">
        <v>4</v>
      </c>
      <c r="C9" s="201"/>
      <c r="D9" s="201"/>
      <c r="E9" s="201"/>
      <c r="F9" s="201"/>
      <c r="G9" s="201"/>
      <c r="H9" s="201"/>
      <c r="I9" s="201"/>
      <c r="J9" s="201"/>
      <c r="K9" s="201"/>
      <c r="L9" s="201"/>
      <c r="M9" s="201"/>
      <c r="N9" s="202"/>
      <c r="O9" s="58">
        <f t="shared" si="0"/>
        <v>0</v>
      </c>
    </row>
    <row r="10" spans="1:15" ht="15.95" customHeight="1" thickBot="1" x14ac:dyDescent="0.3">
      <c r="A10" s="333"/>
      <c r="B10" s="203" t="s">
        <v>63</v>
      </c>
      <c r="C10" s="204">
        <f>SUM(C8:C9)</f>
        <v>0</v>
      </c>
      <c r="D10" s="205">
        <f t="shared" ref="D10:N10" si="2">SUM(D8:D9)</f>
        <v>0</v>
      </c>
      <c r="E10" s="205"/>
      <c r="F10" s="205">
        <f t="shared" si="2"/>
        <v>0</v>
      </c>
      <c r="G10" s="205">
        <f t="shared" si="2"/>
        <v>0</v>
      </c>
      <c r="H10" s="205">
        <f t="shared" si="2"/>
        <v>0</v>
      </c>
      <c r="I10" s="205">
        <f t="shared" si="2"/>
        <v>0</v>
      </c>
      <c r="J10" s="205">
        <f t="shared" si="2"/>
        <v>0</v>
      </c>
      <c r="K10" s="205">
        <f t="shared" si="2"/>
        <v>0</v>
      </c>
      <c r="L10" s="205">
        <f t="shared" si="2"/>
        <v>0</v>
      </c>
      <c r="M10" s="205">
        <f t="shared" si="2"/>
        <v>0</v>
      </c>
      <c r="N10" s="205">
        <f t="shared" si="2"/>
        <v>0</v>
      </c>
      <c r="O10" s="58">
        <f t="shared" si="0"/>
        <v>0</v>
      </c>
    </row>
    <row r="11" spans="1:15" ht="19.5" customHeight="1" thickBot="1" x14ac:dyDescent="0.3">
      <c r="A11" s="334">
        <v>2017</v>
      </c>
      <c r="B11" s="197" t="s">
        <v>3</v>
      </c>
      <c r="C11" s="233"/>
      <c r="D11" s="206">
        <v>0</v>
      </c>
      <c r="E11" s="206">
        <v>0</v>
      </c>
      <c r="F11" s="206">
        <v>0</v>
      </c>
      <c r="G11" s="206">
        <v>0</v>
      </c>
      <c r="H11" s="206">
        <v>0</v>
      </c>
      <c r="I11" s="206">
        <v>0</v>
      </c>
      <c r="J11" s="206">
        <v>0</v>
      </c>
      <c r="K11" s="206">
        <v>0</v>
      </c>
      <c r="L11" s="206">
        <v>0</v>
      </c>
      <c r="M11" s="206">
        <v>0</v>
      </c>
      <c r="N11" s="206">
        <v>0</v>
      </c>
      <c r="O11" s="58">
        <f t="shared" si="0"/>
        <v>0</v>
      </c>
    </row>
    <row r="12" spans="1:15" ht="20.25" customHeight="1" thickBot="1" x14ac:dyDescent="0.3">
      <c r="A12" s="335"/>
      <c r="B12" s="200" t="s">
        <v>4</v>
      </c>
      <c r="C12" s="233"/>
      <c r="D12" s="206">
        <v>0</v>
      </c>
      <c r="E12" s="206">
        <v>0</v>
      </c>
      <c r="F12" s="206">
        <v>0</v>
      </c>
      <c r="G12" s="206">
        <v>0</v>
      </c>
      <c r="H12" s="206">
        <v>0</v>
      </c>
      <c r="I12" s="206">
        <v>0</v>
      </c>
      <c r="J12" s="206">
        <v>0</v>
      </c>
      <c r="K12" s="206">
        <v>0</v>
      </c>
      <c r="L12" s="206">
        <v>0</v>
      </c>
      <c r="M12" s="206">
        <v>0</v>
      </c>
      <c r="N12" s="206">
        <v>0</v>
      </c>
      <c r="O12" s="58">
        <f t="shared" si="0"/>
        <v>0</v>
      </c>
    </row>
    <row r="13" spans="1:15" ht="15.95" customHeight="1" thickBot="1" x14ac:dyDescent="0.3">
      <c r="A13" s="335"/>
      <c r="B13" s="203" t="s">
        <v>63</v>
      </c>
      <c r="C13" s="231">
        <f>C11+C12</f>
        <v>0</v>
      </c>
      <c r="D13" s="231">
        <f t="shared" ref="D13:N13" si="3">D11+D12</f>
        <v>0</v>
      </c>
      <c r="E13" s="231">
        <f t="shared" si="3"/>
        <v>0</v>
      </c>
      <c r="F13" s="231">
        <f t="shared" si="3"/>
        <v>0</v>
      </c>
      <c r="G13" s="231">
        <f t="shared" si="3"/>
        <v>0</v>
      </c>
      <c r="H13" s="231">
        <f t="shared" si="3"/>
        <v>0</v>
      </c>
      <c r="I13" s="231">
        <f t="shared" si="3"/>
        <v>0</v>
      </c>
      <c r="J13" s="231">
        <f t="shared" si="3"/>
        <v>0</v>
      </c>
      <c r="K13" s="231">
        <f t="shared" si="3"/>
        <v>0</v>
      </c>
      <c r="L13" s="231">
        <f t="shared" si="3"/>
        <v>0</v>
      </c>
      <c r="M13" s="231">
        <f t="shared" si="3"/>
        <v>0</v>
      </c>
      <c r="N13" s="231">
        <f t="shared" si="3"/>
        <v>0</v>
      </c>
      <c r="O13" s="58">
        <f t="shared" si="0"/>
        <v>0</v>
      </c>
    </row>
    <row r="14" spans="1:15" ht="21.75" customHeight="1" thickBot="1" x14ac:dyDescent="0.3">
      <c r="A14" s="334">
        <v>2016</v>
      </c>
      <c r="B14" s="197" t="s">
        <v>3</v>
      </c>
      <c r="C14" s="233"/>
      <c r="D14" s="232">
        <v>0</v>
      </c>
      <c r="E14" s="232">
        <v>0</v>
      </c>
      <c r="F14" s="232">
        <v>0</v>
      </c>
      <c r="G14" s="232">
        <v>0</v>
      </c>
      <c r="H14" s="232">
        <v>0</v>
      </c>
      <c r="I14" s="232">
        <v>0</v>
      </c>
      <c r="J14" s="232">
        <v>0</v>
      </c>
      <c r="K14" s="232">
        <v>0</v>
      </c>
      <c r="L14" s="232">
        <v>0</v>
      </c>
      <c r="M14" s="232">
        <v>0</v>
      </c>
      <c r="N14" s="232">
        <v>0</v>
      </c>
      <c r="O14" s="58">
        <f t="shared" si="0"/>
        <v>0</v>
      </c>
    </row>
    <row r="15" spans="1:15" ht="20.25" customHeight="1" thickBot="1" x14ac:dyDescent="0.3">
      <c r="A15" s="335"/>
      <c r="B15" s="200" t="s">
        <v>4</v>
      </c>
      <c r="C15" s="233"/>
      <c r="D15" s="232">
        <v>0</v>
      </c>
      <c r="E15" s="232">
        <v>0</v>
      </c>
      <c r="F15" s="232">
        <v>0</v>
      </c>
      <c r="G15" s="232">
        <v>0</v>
      </c>
      <c r="H15" s="232">
        <v>0</v>
      </c>
      <c r="I15" s="232">
        <v>0</v>
      </c>
      <c r="J15" s="232">
        <v>0</v>
      </c>
      <c r="K15" s="232">
        <v>0</v>
      </c>
      <c r="L15" s="232">
        <v>0</v>
      </c>
      <c r="M15" s="232">
        <v>0</v>
      </c>
      <c r="N15" s="232">
        <v>0</v>
      </c>
      <c r="O15" s="58">
        <f t="shared" si="0"/>
        <v>0</v>
      </c>
    </row>
    <row r="16" spans="1:15" ht="15.95" customHeight="1" thickBot="1" x14ac:dyDescent="0.3">
      <c r="A16" s="336"/>
      <c r="B16" s="203" t="s">
        <v>63</v>
      </c>
      <c r="C16" s="204">
        <f>C14+C15</f>
        <v>0</v>
      </c>
      <c r="D16" s="204">
        <f t="shared" ref="D16:N16" si="4">D14+D15</f>
        <v>0</v>
      </c>
      <c r="E16" s="204">
        <f t="shared" si="4"/>
        <v>0</v>
      </c>
      <c r="F16" s="204">
        <f t="shared" si="4"/>
        <v>0</v>
      </c>
      <c r="G16" s="204">
        <f t="shared" si="4"/>
        <v>0</v>
      </c>
      <c r="H16" s="204">
        <f t="shared" si="4"/>
        <v>0</v>
      </c>
      <c r="I16" s="204">
        <f t="shared" si="4"/>
        <v>0</v>
      </c>
      <c r="J16" s="204">
        <f t="shared" si="4"/>
        <v>0</v>
      </c>
      <c r="K16" s="204">
        <f t="shared" si="4"/>
        <v>0</v>
      </c>
      <c r="L16" s="204">
        <f t="shared" si="4"/>
        <v>0</v>
      </c>
      <c r="M16" s="204">
        <f t="shared" si="4"/>
        <v>0</v>
      </c>
      <c r="N16" s="204">
        <f t="shared" si="4"/>
        <v>0</v>
      </c>
      <c r="O16" s="58">
        <f t="shared" si="0"/>
        <v>0</v>
      </c>
    </row>
    <row r="17" spans="1:15" ht="18" customHeight="1" thickBot="1" x14ac:dyDescent="0.3">
      <c r="A17" s="334">
        <v>2015</v>
      </c>
      <c r="B17" s="197" t="s">
        <v>3</v>
      </c>
      <c r="C17" s="198">
        <v>2</v>
      </c>
      <c r="D17" s="234"/>
      <c r="E17" s="206">
        <v>0</v>
      </c>
      <c r="F17" s="206">
        <v>0</v>
      </c>
      <c r="G17" s="206">
        <v>0</v>
      </c>
      <c r="H17" s="206">
        <v>0</v>
      </c>
      <c r="I17" s="206">
        <v>0</v>
      </c>
      <c r="J17" s="206">
        <v>0</v>
      </c>
      <c r="K17" s="206">
        <v>0</v>
      </c>
      <c r="L17" s="206">
        <v>0</v>
      </c>
      <c r="M17" s="206">
        <v>0</v>
      </c>
      <c r="N17" s="206"/>
      <c r="O17" s="58">
        <f t="shared" si="0"/>
        <v>2</v>
      </c>
    </row>
    <row r="18" spans="1:15" ht="18" customHeight="1" thickBot="1" x14ac:dyDescent="0.3">
      <c r="A18" s="335"/>
      <c r="B18" s="200" t="s">
        <v>4</v>
      </c>
      <c r="C18" s="201">
        <v>4</v>
      </c>
      <c r="D18" s="235"/>
      <c r="E18" s="207">
        <v>0</v>
      </c>
      <c r="F18" s="207">
        <v>0</v>
      </c>
      <c r="G18" s="207">
        <v>0</v>
      </c>
      <c r="H18" s="207">
        <v>0</v>
      </c>
      <c r="I18" s="207">
        <v>0</v>
      </c>
      <c r="J18" s="207">
        <v>0</v>
      </c>
      <c r="K18" s="207">
        <v>0</v>
      </c>
      <c r="L18" s="207">
        <v>0</v>
      </c>
      <c r="M18" s="207">
        <v>0</v>
      </c>
      <c r="N18" s="207"/>
      <c r="O18" s="58">
        <f t="shared" si="0"/>
        <v>4</v>
      </c>
    </row>
    <row r="19" spans="1:15" ht="15.6" customHeight="1" thickBot="1" x14ac:dyDescent="0.3">
      <c r="A19" s="336"/>
      <c r="B19" s="203" t="s">
        <v>63</v>
      </c>
      <c r="C19" s="204">
        <f>SUM(C17:C18)</f>
        <v>6</v>
      </c>
      <c r="D19" s="204">
        <f t="shared" ref="D19:N19" si="5">SUM(D17:D18)</f>
        <v>0</v>
      </c>
      <c r="E19" s="205">
        <f t="shared" si="5"/>
        <v>0</v>
      </c>
      <c r="F19" s="205">
        <f t="shared" si="5"/>
        <v>0</v>
      </c>
      <c r="G19" s="205">
        <f t="shared" si="5"/>
        <v>0</v>
      </c>
      <c r="H19" s="205">
        <f t="shared" si="5"/>
        <v>0</v>
      </c>
      <c r="I19" s="205">
        <f t="shared" si="5"/>
        <v>0</v>
      </c>
      <c r="J19" s="205">
        <f t="shared" si="5"/>
        <v>0</v>
      </c>
      <c r="K19" s="205">
        <f t="shared" si="5"/>
        <v>0</v>
      </c>
      <c r="L19" s="205">
        <f t="shared" si="5"/>
        <v>0</v>
      </c>
      <c r="M19" s="205">
        <f t="shared" si="5"/>
        <v>0</v>
      </c>
      <c r="N19" s="205">
        <f t="shared" si="5"/>
        <v>0</v>
      </c>
      <c r="O19" s="58">
        <f t="shared" si="0"/>
        <v>6</v>
      </c>
    </row>
    <row r="20" spans="1:15" ht="15.6" customHeight="1" thickBot="1" x14ac:dyDescent="0.3">
      <c r="A20" s="337">
        <v>2014</v>
      </c>
      <c r="B20" s="197" t="s">
        <v>3</v>
      </c>
      <c r="C20" s="198">
        <v>6</v>
      </c>
      <c r="D20" s="198"/>
      <c r="E20" s="206">
        <v>0</v>
      </c>
      <c r="F20" s="206">
        <v>0</v>
      </c>
      <c r="G20" s="206">
        <v>0</v>
      </c>
      <c r="H20" s="206">
        <v>0</v>
      </c>
      <c r="I20" s="206">
        <v>0</v>
      </c>
      <c r="J20" s="206">
        <v>0</v>
      </c>
      <c r="K20" s="206">
        <v>0</v>
      </c>
      <c r="L20" s="206">
        <v>0</v>
      </c>
      <c r="M20" s="206">
        <v>0</v>
      </c>
      <c r="N20" s="206">
        <v>0</v>
      </c>
      <c r="O20" s="58">
        <f t="shared" si="0"/>
        <v>6</v>
      </c>
    </row>
    <row r="21" spans="1:15" ht="15.6" customHeight="1" thickBot="1" x14ac:dyDescent="0.3">
      <c r="A21" s="338"/>
      <c r="B21" s="200" t="s">
        <v>4</v>
      </c>
      <c r="C21" s="201">
        <v>8</v>
      </c>
      <c r="D21" s="201">
        <v>1</v>
      </c>
      <c r="E21" s="207">
        <v>0</v>
      </c>
      <c r="F21" s="207">
        <v>0</v>
      </c>
      <c r="G21" s="207">
        <v>0</v>
      </c>
      <c r="H21" s="207">
        <v>0</v>
      </c>
      <c r="I21" s="207">
        <v>0</v>
      </c>
      <c r="J21" s="207">
        <v>0</v>
      </c>
      <c r="K21" s="207">
        <v>0</v>
      </c>
      <c r="L21" s="207">
        <v>0</v>
      </c>
      <c r="M21" s="207">
        <v>0</v>
      </c>
      <c r="N21" s="207">
        <v>0</v>
      </c>
      <c r="O21" s="58">
        <f t="shared" si="0"/>
        <v>9</v>
      </c>
    </row>
    <row r="22" spans="1:15" ht="15.6" customHeight="1" thickBot="1" x14ac:dyDescent="0.3">
      <c r="A22" s="339"/>
      <c r="B22" s="203" t="s">
        <v>63</v>
      </c>
      <c r="C22" s="205">
        <f>SUM(C20:C21)</f>
        <v>14</v>
      </c>
      <c r="D22" s="205">
        <f t="shared" ref="D22:N22" si="6">SUM(D20:D21)</f>
        <v>1</v>
      </c>
      <c r="E22" s="205">
        <f t="shared" si="6"/>
        <v>0</v>
      </c>
      <c r="F22" s="205">
        <f t="shared" si="6"/>
        <v>0</v>
      </c>
      <c r="G22" s="205">
        <f t="shared" si="6"/>
        <v>0</v>
      </c>
      <c r="H22" s="205">
        <f t="shared" si="6"/>
        <v>0</v>
      </c>
      <c r="I22" s="205">
        <f t="shared" si="6"/>
        <v>0</v>
      </c>
      <c r="J22" s="205">
        <f t="shared" si="6"/>
        <v>0</v>
      </c>
      <c r="K22" s="205">
        <f t="shared" si="6"/>
        <v>0</v>
      </c>
      <c r="L22" s="205">
        <f t="shared" si="6"/>
        <v>0</v>
      </c>
      <c r="M22" s="205">
        <f t="shared" si="6"/>
        <v>0</v>
      </c>
      <c r="N22" s="205">
        <f t="shared" si="6"/>
        <v>0</v>
      </c>
      <c r="O22" s="58">
        <f t="shared" si="0"/>
        <v>15</v>
      </c>
    </row>
    <row r="23" spans="1:15" ht="15.95" customHeight="1" thickBot="1" x14ac:dyDescent="0.3">
      <c r="A23" s="323">
        <v>2013</v>
      </c>
      <c r="B23" s="208" t="s">
        <v>3</v>
      </c>
      <c r="C23" s="198">
        <v>3</v>
      </c>
      <c r="D23" s="198">
        <v>4</v>
      </c>
      <c r="E23" s="198">
        <v>1</v>
      </c>
      <c r="F23" s="206">
        <v>0</v>
      </c>
      <c r="G23" s="206">
        <v>0</v>
      </c>
      <c r="H23" s="206">
        <v>0</v>
      </c>
      <c r="I23" s="206">
        <v>0</v>
      </c>
      <c r="J23" s="206">
        <v>0</v>
      </c>
      <c r="K23" s="206">
        <v>0</v>
      </c>
      <c r="L23" s="206">
        <v>0</v>
      </c>
      <c r="M23" s="206">
        <v>0</v>
      </c>
      <c r="N23" s="206">
        <v>0</v>
      </c>
      <c r="O23" s="58">
        <f t="shared" si="0"/>
        <v>8</v>
      </c>
    </row>
    <row r="24" spans="1:15" ht="22.5" customHeight="1" thickBot="1" x14ac:dyDescent="0.3">
      <c r="A24" s="324"/>
      <c r="B24" s="209" t="s">
        <v>4</v>
      </c>
      <c r="C24" s="201">
        <v>1</v>
      </c>
      <c r="D24" s="201">
        <v>5</v>
      </c>
      <c r="E24" s="201">
        <v>1</v>
      </c>
      <c r="F24" s="207">
        <v>0</v>
      </c>
      <c r="G24" s="207">
        <v>0</v>
      </c>
      <c r="H24" s="207">
        <v>0</v>
      </c>
      <c r="I24" s="207">
        <v>0</v>
      </c>
      <c r="J24" s="207">
        <v>0</v>
      </c>
      <c r="K24" s="207">
        <v>0</v>
      </c>
      <c r="L24" s="207">
        <v>0</v>
      </c>
      <c r="M24" s="207">
        <v>0</v>
      </c>
      <c r="N24" s="207">
        <v>0</v>
      </c>
      <c r="O24" s="58">
        <f t="shared" si="0"/>
        <v>7</v>
      </c>
    </row>
    <row r="25" spans="1:15" ht="19.5" thickBot="1" x14ac:dyDescent="0.3">
      <c r="A25" s="325"/>
      <c r="B25" s="210" t="s">
        <v>63</v>
      </c>
      <c r="C25" s="205">
        <f>SUM(C23:C24)</f>
        <v>4</v>
      </c>
      <c r="D25" s="205">
        <f t="shared" ref="D25:N25" si="7">SUM(D23:D24)</f>
        <v>9</v>
      </c>
      <c r="E25" s="205">
        <f t="shared" si="7"/>
        <v>2</v>
      </c>
      <c r="F25" s="205">
        <f t="shared" si="7"/>
        <v>0</v>
      </c>
      <c r="G25" s="205">
        <f t="shared" si="7"/>
        <v>0</v>
      </c>
      <c r="H25" s="205">
        <f t="shared" si="7"/>
        <v>0</v>
      </c>
      <c r="I25" s="205">
        <f t="shared" si="7"/>
        <v>0</v>
      </c>
      <c r="J25" s="205">
        <f t="shared" si="7"/>
        <v>0</v>
      </c>
      <c r="K25" s="205">
        <f t="shared" si="7"/>
        <v>0</v>
      </c>
      <c r="L25" s="205">
        <f t="shared" si="7"/>
        <v>0</v>
      </c>
      <c r="M25" s="205">
        <f t="shared" si="7"/>
        <v>0</v>
      </c>
      <c r="N25" s="205">
        <f t="shared" si="7"/>
        <v>0</v>
      </c>
      <c r="O25" s="58">
        <f t="shared" si="0"/>
        <v>15</v>
      </c>
    </row>
    <row r="26" spans="1:15" ht="19.5" thickBot="1" x14ac:dyDescent="0.3">
      <c r="A26" s="320">
        <v>2012</v>
      </c>
      <c r="B26" s="197" t="s">
        <v>3</v>
      </c>
      <c r="C26" s="198">
        <v>1</v>
      </c>
      <c r="D26" s="198"/>
      <c r="E26" s="198">
        <v>2</v>
      </c>
      <c r="F26" s="198"/>
      <c r="G26" s="206">
        <v>0</v>
      </c>
      <c r="H26" s="206">
        <v>0</v>
      </c>
      <c r="I26" s="206">
        <v>0</v>
      </c>
      <c r="J26" s="206">
        <v>0</v>
      </c>
      <c r="K26" s="206">
        <v>0</v>
      </c>
      <c r="L26" s="206">
        <v>0</v>
      </c>
      <c r="M26" s="206">
        <v>0</v>
      </c>
      <c r="N26" s="206">
        <v>0</v>
      </c>
      <c r="O26" s="58">
        <f t="shared" si="0"/>
        <v>3</v>
      </c>
    </row>
    <row r="27" spans="1:15" ht="15" customHeight="1" thickBot="1" x14ac:dyDescent="0.3">
      <c r="A27" s="321">
        <v>2002</v>
      </c>
      <c r="B27" s="200" t="s">
        <v>4</v>
      </c>
      <c r="C27" s="201">
        <v>2</v>
      </c>
      <c r="D27" s="201">
        <v>3</v>
      </c>
      <c r="E27" s="201">
        <v>1</v>
      </c>
      <c r="F27" s="201"/>
      <c r="G27" s="207">
        <v>0</v>
      </c>
      <c r="H27" s="207">
        <v>0</v>
      </c>
      <c r="I27" s="207">
        <v>0</v>
      </c>
      <c r="J27" s="207">
        <v>0</v>
      </c>
      <c r="K27" s="207">
        <v>0</v>
      </c>
      <c r="L27" s="207">
        <v>0</v>
      </c>
      <c r="M27" s="207">
        <v>0</v>
      </c>
      <c r="N27" s="207">
        <v>0</v>
      </c>
      <c r="O27" s="58">
        <f t="shared" si="0"/>
        <v>6</v>
      </c>
    </row>
    <row r="28" spans="1:15" ht="15.6" customHeight="1" thickBot="1" x14ac:dyDescent="0.3">
      <c r="A28" s="322"/>
      <c r="B28" s="203" t="s">
        <v>63</v>
      </c>
      <c r="C28" s="205">
        <f>SUM(C26:C27)</f>
        <v>3</v>
      </c>
      <c r="D28" s="205">
        <f t="shared" ref="D28:N28" si="8">SUM(D26:D27)</f>
        <v>3</v>
      </c>
      <c r="E28" s="205">
        <f t="shared" si="8"/>
        <v>3</v>
      </c>
      <c r="F28" s="205">
        <f t="shared" si="8"/>
        <v>0</v>
      </c>
      <c r="G28" s="205">
        <f t="shared" si="8"/>
        <v>0</v>
      </c>
      <c r="H28" s="205">
        <f t="shared" si="8"/>
        <v>0</v>
      </c>
      <c r="I28" s="205">
        <v>0</v>
      </c>
      <c r="J28" s="205">
        <f t="shared" si="8"/>
        <v>0</v>
      </c>
      <c r="K28" s="205">
        <f t="shared" si="8"/>
        <v>0</v>
      </c>
      <c r="L28" s="205">
        <f t="shared" si="8"/>
        <v>0</v>
      </c>
      <c r="M28" s="205">
        <f t="shared" si="8"/>
        <v>0</v>
      </c>
      <c r="N28" s="205">
        <f t="shared" si="8"/>
        <v>0</v>
      </c>
      <c r="O28" s="58">
        <f t="shared" si="0"/>
        <v>9</v>
      </c>
    </row>
    <row r="29" spans="1:15" ht="16.5" customHeight="1" thickBot="1" x14ac:dyDescent="0.3">
      <c r="A29" s="323">
        <v>2011</v>
      </c>
      <c r="B29" s="208" t="s">
        <v>3</v>
      </c>
      <c r="C29" s="198">
        <v>1</v>
      </c>
      <c r="D29" s="198">
        <v>2</v>
      </c>
      <c r="E29" s="198"/>
      <c r="F29" s="198"/>
      <c r="G29" s="198"/>
      <c r="H29" s="198"/>
      <c r="I29" s="206">
        <v>0</v>
      </c>
      <c r="J29" s="206">
        <v>0</v>
      </c>
      <c r="K29" s="206">
        <v>0</v>
      </c>
      <c r="L29" s="206">
        <v>0</v>
      </c>
      <c r="M29" s="206">
        <v>0</v>
      </c>
      <c r="N29" s="206">
        <v>0</v>
      </c>
      <c r="O29" s="58">
        <f t="shared" si="0"/>
        <v>3</v>
      </c>
    </row>
    <row r="30" spans="1:15" ht="19.5" thickBot="1" x14ac:dyDescent="0.3">
      <c r="A30" s="324">
        <v>2001</v>
      </c>
      <c r="B30" s="209" t="s">
        <v>4</v>
      </c>
      <c r="C30" s="201"/>
      <c r="D30" s="201">
        <v>1</v>
      </c>
      <c r="E30" s="201"/>
      <c r="F30" s="201"/>
      <c r="G30" s="201"/>
      <c r="H30" s="201"/>
      <c r="I30" s="207">
        <v>0</v>
      </c>
      <c r="J30" s="207">
        <v>0</v>
      </c>
      <c r="K30" s="207">
        <v>0</v>
      </c>
      <c r="L30" s="207">
        <v>0</v>
      </c>
      <c r="M30" s="207">
        <v>0</v>
      </c>
      <c r="N30" s="207">
        <v>0</v>
      </c>
      <c r="O30" s="58">
        <f t="shared" si="0"/>
        <v>1</v>
      </c>
    </row>
    <row r="31" spans="1:15" ht="19.5" thickBot="1" x14ac:dyDescent="0.3">
      <c r="A31" s="325"/>
      <c r="B31" s="210" t="s">
        <v>63</v>
      </c>
      <c r="C31" s="205">
        <f>SUM(C29:C30)</f>
        <v>1</v>
      </c>
      <c r="D31" s="205">
        <f t="shared" ref="D31:N31" si="9">SUM(D29:D30)</f>
        <v>3</v>
      </c>
      <c r="E31" s="205">
        <f t="shared" si="9"/>
        <v>0</v>
      </c>
      <c r="F31" s="205">
        <f t="shared" si="9"/>
        <v>0</v>
      </c>
      <c r="G31" s="205">
        <f t="shared" si="9"/>
        <v>0</v>
      </c>
      <c r="H31" s="205">
        <f t="shared" si="9"/>
        <v>0</v>
      </c>
      <c r="I31" s="205">
        <f t="shared" si="9"/>
        <v>0</v>
      </c>
      <c r="J31" s="205">
        <f t="shared" si="9"/>
        <v>0</v>
      </c>
      <c r="K31" s="205">
        <f t="shared" si="9"/>
        <v>0</v>
      </c>
      <c r="L31" s="205">
        <f t="shared" si="9"/>
        <v>0</v>
      </c>
      <c r="M31" s="205">
        <f t="shared" si="9"/>
        <v>0</v>
      </c>
      <c r="N31" s="205">
        <f t="shared" si="9"/>
        <v>0</v>
      </c>
      <c r="O31" s="58">
        <f t="shared" si="0"/>
        <v>4</v>
      </c>
    </row>
    <row r="32" spans="1:15" ht="19.5" thickBot="1" x14ac:dyDescent="0.3">
      <c r="A32" s="320">
        <v>2010</v>
      </c>
      <c r="B32" s="197" t="s">
        <v>3</v>
      </c>
      <c r="C32" s="198"/>
      <c r="D32" s="198"/>
      <c r="E32" s="198"/>
      <c r="F32" s="198"/>
      <c r="G32" s="198"/>
      <c r="H32" s="198"/>
      <c r="I32" s="198"/>
      <c r="J32" s="198"/>
      <c r="K32" s="198"/>
      <c r="L32" s="206">
        <v>0</v>
      </c>
      <c r="M32" s="206">
        <v>0</v>
      </c>
      <c r="N32" s="206">
        <v>0</v>
      </c>
      <c r="O32" s="58">
        <f t="shared" si="0"/>
        <v>0</v>
      </c>
    </row>
    <row r="33" spans="1:15" ht="21.75" customHeight="1" thickBot="1" x14ac:dyDescent="0.3">
      <c r="A33" s="321">
        <v>2002</v>
      </c>
      <c r="B33" s="200" t="s">
        <v>4</v>
      </c>
      <c r="C33" s="201"/>
      <c r="D33" s="201"/>
      <c r="E33" s="201">
        <v>1</v>
      </c>
      <c r="F33" s="201"/>
      <c r="G33" s="201"/>
      <c r="H33" s="201"/>
      <c r="I33" s="201"/>
      <c r="J33" s="201"/>
      <c r="K33" s="201"/>
      <c r="L33" s="207">
        <v>0</v>
      </c>
      <c r="M33" s="207">
        <v>0</v>
      </c>
      <c r="N33" s="207">
        <v>0</v>
      </c>
      <c r="O33" s="58">
        <f t="shared" si="0"/>
        <v>1</v>
      </c>
    </row>
    <row r="34" spans="1:15" ht="19.5" thickBot="1" x14ac:dyDescent="0.3">
      <c r="A34" s="322"/>
      <c r="B34" s="203" t="s">
        <v>63</v>
      </c>
      <c r="C34" s="205">
        <f>SUM(C32:C33)</f>
        <v>0</v>
      </c>
      <c r="D34" s="205">
        <f t="shared" ref="D34:N34" si="10">SUM(D32:D33)</f>
        <v>0</v>
      </c>
      <c r="E34" s="205">
        <f t="shared" si="10"/>
        <v>1</v>
      </c>
      <c r="F34" s="205">
        <f t="shared" si="10"/>
        <v>0</v>
      </c>
      <c r="G34" s="205">
        <f t="shared" si="10"/>
        <v>0</v>
      </c>
      <c r="H34" s="205">
        <f t="shared" si="10"/>
        <v>0</v>
      </c>
      <c r="I34" s="205">
        <f t="shared" si="10"/>
        <v>0</v>
      </c>
      <c r="J34" s="205">
        <f t="shared" si="10"/>
        <v>0</v>
      </c>
      <c r="K34" s="205">
        <f t="shared" si="10"/>
        <v>0</v>
      </c>
      <c r="L34" s="205">
        <f t="shared" si="10"/>
        <v>0</v>
      </c>
      <c r="M34" s="205">
        <f t="shared" si="10"/>
        <v>0</v>
      </c>
      <c r="N34" s="211">
        <f t="shared" si="10"/>
        <v>0</v>
      </c>
      <c r="O34" s="58">
        <f t="shared" si="0"/>
        <v>1</v>
      </c>
    </row>
    <row r="35" spans="1:15" ht="19.5" thickBot="1" x14ac:dyDescent="0.3">
      <c r="A35" s="323">
        <v>2009</v>
      </c>
      <c r="B35" s="208" t="s">
        <v>3</v>
      </c>
      <c r="C35" s="198"/>
      <c r="D35" s="198">
        <v>1</v>
      </c>
      <c r="E35" s="198"/>
      <c r="F35" s="198"/>
      <c r="G35" s="198"/>
      <c r="H35" s="198"/>
      <c r="I35" s="198"/>
      <c r="J35" s="198"/>
      <c r="K35" s="198"/>
      <c r="L35" s="198"/>
      <c r="M35" s="198"/>
      <c r="N35" s="198"/>
      <c r="O35" s="58">
        <f t="shared" si="0"/>
        <v>1</v>
      </c>
    </row>
    <row r="36" spans="1:15" ht="19.5" thickBot="1" x14ac:dyDescent="0.3">
      <c r="A36" s="324"/>
      <c r="B36" s="209" t="s">
        <v>4</v>
      </c>
      <c r="C36" s="201"/>
      <c r="D36" s="201"/>
      <c r="E36" s="201"/>
      <c r="F36" s="201"/>
      <c r="G36" s="201"/>
      <c r="H36" s="201"/>
      <c r="I36" s="201"/>
      <c r="J36" s="201"/>
      <c r="K36" s="201"/>
      <c r="L36" s="201"/>
      <c r="M36" s="201"/>
      <c r="N36" s="201"/>
      <c r="O36" s="58">
        <f t="shared" si="0"/>
        <v>0</v>
      </c>
    </row>
    <row r="37" spans="1:15" ht="19.5" thickBot="1" x14ac:dyDescent="0.3">
      <c r="A37" s="325"/>
      <c r="B37" s="210" t="s">
        <v>63</v>
      </c>
      <c r="C37" s="205">
        <f>SUM(C35:C36)</f>
        <v>0</v>
      </c>
      <c r="D37" s="205">
        <f t="shared" ref="D37:N37" si="11">SUM(D35:D36)</f>
        <v>1</v>
      </c>
      <c r="E37" s="205">
        <f t="shared" si="11"/>
        <v>0</v>
      </c>
      <c r="F37" s="205">
        <f t="shared" si="11"/>
        <v>0</v>
      </c>
      <c r="G37" s="205">
        <f t="shared" si="11"/>
        <v>0</v>
      </c>
      <c r="H37" s="205">
        <f t="shared" si="11"/>
        <v>0</v>
      </c>
      <c r="I37" s="205">
        <f t="shared" si="11"/>
        <v>0</v>
      </c>
      <c r="J37" s="205">
        <f t="shared" si="11"/>
        <v>0</v>
      </c>
      <c r="K37" s="205">
        <f t="shared" si="11"/>
        <v>0</v>
      </c>
      <c r="L37" s="205">
        <f t="shared" si="11"/>
        <v>0</v>
      </c>
      <c r="M37" s="205">
        <f t="shared" si="11"/>
        <v>0</v>
      </c>
      <c r="N37" s="211">
        <f t="shared" si="11"/>
        <v>0</v>
      </c>
      <c r="O37" s="58">
        <f t="shared" si="0"/>
        <v>1</v>
      </c>
    </row>
    <row r="38" spans="1:15" ht="14.45" customHeight="1" thickBot="1" x14ac:dyDescent="0.3">
      <c r="A38" s="320">
        <v>2008</v>
      </c>
      <c r="B38" s="197" t="s">
        <v>3</v>
      </c>
      <c r="C38" s="198"/>
      <c r="D38" s="198"/>
      <c r="E38" s="198"/>
      <c r="F38" s="198"/>
      <c r="G38" s="198"/>
      <c r="H38" s="198"/>
      <c r="I38" s="198"/>
      <c r="J38" s="198"/>
      <c r="K38" s="198"/>
      <c r="L38" s="198"/>
      <c r="M38" s="198"/>
      <c r="N38" s="198"/>
      <c r="O38" s="58">
        <f t="shared" si="0"/>
        <v>0</v>
      </c>
    </row>
    <row r="39" spans="1:15" ht="15" customHeight="1" thickBot="1" x14ac:dyDescent="0.3">
      <c r="A39" s="321"/>
      <c r="B39" s="200" t="s">
        <v>4</v>
      </c>
      <c r="C39" s="201"/>
      <c r="D39" s="201"/>
      <c r="E39" s="201"/>
      <c r="F39" s="201"/>
      <c r="G39" s="201"/>
      <c r="H39" s="201"/>
      <c r="I39" s="201"/>
      <c r="J39" s="201"/>
      <c r="K39" s="201"/>
      <c r="L39" s="201"/>
      <c r="M39" s="201"/>
      <c r="N39" s="201"/>
      <c r="O39" s="58">
        <f t="shared" si="0"/>
        <v>0</v>
      </c>
    </row>
    <row r="40" spans="1:15" ht="19.5" thickBot="1" x14ac:dyDescent="0.3">
      <c r="A40" s="322"/>
      <c r="B40" s="203" t="s">
        <v>63</v>
      </c>
      <c r="C40" s="205">
        <f>SUM(C38:C39)</f>
        <v>0</v>
      </c>
      <c r="D40" s="205">
        <f t="shared" ref="D40:N40" si="12">SUM(D38:D39)</f>
        <v>0</v>
      </c>
      <c r="E40" s="205">
        <f t="shared" si="12"/>
        <v>0</v>
      </c>
      <c r="F40" s="205">
        <f t="shared" si="12"/>
        <v>0</v>
      </c>
      <c r="G40" s="205">
        <f t="shared" si="12"/>
        <v>0</v>
      </c>
      <c r="H40" s="205">
        <f t="shared" si="12"/>
        <v>0</v>
      </c>
      <c r="I40" s="205">
        <f t="shared" si="12"/>
        <v>0</v>
      </c>
      <c r="J40" s="205">
        <f t="shared" si="12"/>
        <v>0</v>
      </c>
      <c r="K40" s="205">
        <f t="shared" si="12"/>
        <v>0</v>
      </c>
      <c r="L40" s="205">
        <f t="shared" si="12"/>
        <v>0</v>
      </c>
      <c r="M40" s="205">
        <f t="shared" si="12"/>
        <v>0</v>
      </c>
      <c r="N40" s="211">
        <f t="shared" si="12"/>
        <v>0</v>
      </c>
      <c r="O40" s="58">
        <f t="shared" si="0"/>
        <v>0</v>
      </c>
    </row>
    <row r="41" spans="1:15" ht="19.5" thickBot="1" x14ac:dyDescent="0.3">
      <c r="A41" s="323">
        <v>2007</v>
      </c>
      <c r="B41" s="208" t="s">
        <v>3</v>
      </c>
      <c r="C41" s="198"/>
      <c r="D41" s="198"/>
      <c r="E41" s="198"/>
      <c r="F41" s="198"/>
      <c r="G41" s="198"/>
      <c r="H41" s="198"/>
      <c r="I41" s="198"/>
      <c r="J41" s="198"/>
      <c r="K41" s="198"/>
      <c r="L41" s="198"/>
      <c r="M41" s="198"/>
      <c r="N41" s="198"/>
      <c r="O41" s="58">
        <f t="shared" si="0"/>
        <v>0</v>
      </c>
    </row>
    <row r="42" spans="1:15" ht="19.5" customHeight="1" thickBot="1" x14ac:dyDescent="0.3">
      <c r="A42" s="324">
        <v>2001</v>
      </c>
      <c r="B42" s="209" t="s">
        <v>4</v>
      </c>
      <c r="C42" s="201"/>
      <c r="D42" s="201"/>
      <c r="E42" s="201"/>
      <c r="F42" s="201"/>
      <c r="G42" s="201"/>
      <c r="H42" s="201"/>
      <c r="I42" s="201"/>
      <c r="J42" s="201"/>
      <c r="K42" s="201"/>
      <c r="L42" s="201"/>
      <c r="M42" s="201"/>
      <c r="N42" s="201"/>
      <c r="O42" s="58">
        <f t="shared" si="0"/>
        <v>0</v>
      </c>
    </row>
    <row r="43" spans="1:15" ht="30" customHeight="1" thickBot="1" x14ac:dyDescent="0.3">
      <c r="A43" s="325"/>
      <c r="B43" s="210" t="s">
        <v>63</v>
      </c>
      <c r="C43" s="205">
        <f>SUM(C41:C42)</f>
        <v>0</v>
      </c>
      <c r="D43" s="205">
        <f t="shared" ref="D43:N43" si="13">SUM(D41:D42)</f>
        <v>0</v>
      </c>
      <c r="E43" s="205">
        <f t="shared" si="13"/>
        <v>0</v>
      </c>
      <c r="F43" s="205">
        <f t="shared" si="13"/>
        <v>0</v>
      </c>
      <c r="G43" s="205">
        <f t="shared" si="13"/>
        <v>0</v>
      </c>
      <c r="H43" s="205">
        <f t="shared" si="13"/>
        <v>0</v>
      </c>
      <c r="I43" s="205">
        <f t="shared" si="13"/>
        <v>0</v>
      </c>
      <c r="J43" s="205">
        <f t="shared" si="13"/>
        <v>0</v>
      </c>
      <c r="K43" s="205">
        <f t="shared" si="13"/>
        <v>0</v>
      </c>
      <c r="L43" s="205">
        <f t="shared" si="13"/>
        <v>0</v>
      </c>
      <c r="M43" s="205">
        <f t="shared" si="13"/>
        <v>0</v>
      </c>
      <c r="N43" s="211">
        <f t="shared" si="13"/>
        <v>0</v>
      </c>
      <c r="O43" s="58">
        <f t="shared" si="0"/>
        <v>0</v>
      </c>
    </row>
    <row r="44" spans="1:15" ht="19.5" thickBot="1" x14ac:dyDescent="0.3">
      <c r="A44" s="320">
        <v>2006</v>
      </c>
      <c r="B44" s="197" t="s">
        <v>3</v>
      </c>
      <c r="C44" s="206">
        <v>0</v>
      </c>
      <c r="D44" s="198"/>
      <c r="E44" s="198"/>
      <c r="F44" s="198"/>
      <c r="G44" s="198"/>
      <c r="H44" s="198"/>
      <c r="I44" s="198"/>
      <c r="J44" s="198"/>
      <c r="K44" s="198"/>
      <c r="L44" s="198"/>
      <c r="M44" s="198"/>
      <c r="N44" s="198"/>
      <c r="O44" s="58">
        <f t="shared" si="0"/>
        <v>0</v>
      </c>
    </row>
    <row r="45" spans="1:15" ht="19.5" thickBot="1" x14ac:dyDescent="0.3">
      <c r="A45" s="321">
        <v>2002</v>
      </c>
      <c r="B45" s="200" t="s">
        <v>4</v>
      </c>
      <c r="C45" s="207">
        <v>0</v>
      </c>
      <c r="D45" s="201"/>
      <c r="E45" s="201"/>
      <c r="F45" s="201"/>
      <c r="G45" s="201"/>
      <c r="H45" s="201"/>
      <c r="I45" s="201"/>
      <c r="J45" s="201"/>
      <c r="K45" s="201"/>
      <c r="L45" s="201"/>
      <c r="M45" s="201"/>
      <c r="N45" s="201"/>
      <c r="O45" s="58">
        <f t="shared" si="0"/>
        <v>0</v>
      </c>
    </row>
    <row r="46" spans="1:15" ht="19.5" thickBot="1" x14ac:dyDescent="0.3">
      <c r="A46" s="322"/>
      <c r="B46" s="203" t="s">
        <v>63</v>
      </c>
      <c r="C46" s="205">
        <f>SUM(C44:C45)</f>
        <v>0</v>
      </c>
      <c r="D46" s="205">
        <f t="shared" ref="D46:N46" si="14">SUM(D44:D45)</f>
        <v>0</v>
      </c>
      <c r="E46" s="205">
        <f t="shared" si="14"/>
        <v>0</v>
      </c>
      <c r="F46" s="205">
        <f t="shared" si="14"/>
        <v>0</v>
      </c>
      <c r="G46" s="205">
        <f t="shared" si="14"/>
        <v>0</v>
      </c>
      <c r="H46" s="205">
        <f t="shared" si="14"/>
        <v>0</v>
      </c>
      <c r="I46" s="205">
        <f t="shared" si="14"/>
        <v>0</v>
      </c>
      <c r="J46" s="205">
        <f t="shared" si="14"/>
        <v>0</v>
      </c>
      <c r="K46" s="205">
        <f t="shared" si="14"/>
        <v>0</v>
      </c>
      <c r="L46" s="205">
        <f t="shared" si="14"/>
        <v>0</v>
      </c>
      <c r="M46" s="205">
        <f t="shared" si="14"/>
        <v>0</v>
      </c>
      <c r="N46" s="211">
        <f t="shared" si="14"/>
        <v>0</v>
      </c>
      <c r="O46" s="58">
        <f t="shared" si="0"/>
        <v>0</v>
      </c>
    </row>
    <row r="47" spans="1:15" ht="19.5" thickBot="1" x14ac:dyDescent="0.3">
      <c r="A47" s="323">
        <v>2005</v>
      </c>
      <c r="B47" s="208" t="s">
        <v>3</v>
      </c>
      <c r="C47" s="206">
        <v>0</v>
      </c>
      <c r="D47" s="198"/>
      <c r="E47" s="198"/>
      <c r="F47" s="198"/>
      <c r="G47" s="198"/>
      <c r="H47" s="198"/>
      <c r="I47" s="198"/>
      <c r="J47" s="198"/>
      <c r="K47" s="198"/>
      <c r="L47" s="198"/>
      <c r="M47" s="198"/>
      <c r="N47" s="198"/>
      <c r="O47" s="58">
        <f t="shared" si="0"/>
        <v>0</v>
      </c>
    </row>
    <row r="48" spans="1:15" ht="19.5" thickBot="1" x14ac:dyDescent="0.3">
      <c r="A48" s="324">
        <v>2001</v>
      </c>
      <c r="B48" s="209" t="s">
        <v>4</v>
      </c>
      <c r="C48" s="207">
        <v>0</v>
      </c>
      <c r="D48" s="201"/>
      <c r="E48" s="201"/>
      <c r="F48" s="201"/>
      <c r="G48" s="201"/>
      <c r="H48" s="201"/>
      <c r="I48" s="201"/>
      <c r="J48" s="201"/>
      <c r="K48" s="201"/>
      <c r="L48" s="201"/>
      <c r="M48" s="201"/>
      <c r="N48" s="201"/>
      <c r="O48" s="58">
        <f t="shared" si="0"/>
        <v>0</v>
      </c>
    </row>
    <row r="49" spans="1:15" ht="19.5" thickBot="1" x14ac:dyDescent="0.3">
      <c r="A49" s="325"/>
      <c r="B49" s="210" t="s">
        <v>63</v>
      </c>
      <c r="C49" s="205">
        <f>SUM(C47:C48)</f>
        <v>0</v>
      </c>
      <c r="D49" s="205">
        <f>SUM(D47:D48)</f>
        <v>0</v>
      </c>
      <c r="E49" s="205">
        <f t="shared" ref="E49:N49" si="15">SUM(E47:E48)</f>
        <v>0</v>
      </c>
      <c r="F49" s="205">
        <f t="shared" si="15"/>
        <v>0</v>
      </c>
      <c r="G49" s="205">
        <f t="shared" si="15"/>
        <v>0</v>
      </c>
      <c r="H49" s="205">
        <f t="shared" si="15"/>
        <v>0</v>
      </c>
      <c r="I49" s="205">
        <f t="shared" si="15"/>
        <v>0</v>
      </c>
      <c r="J49" s="205">
        <f t="shared" si="15"/>
        <v>0</v>
      </c>
      <c r="K49" s="205">
        <f t="shared" si="15"/>
        <v>0</v>
      </c>
      <c r="L49" s="205">
        <f t="shared" si="15"/>
        <v>0</v>
      </c>
      <c r="M49" s="205">
        <f t="shared" si="15"/>
        <v>0</v>
      </c>
      <c r="N49" s="211">
        <f t="shared" si="15"/>
        <v>0</v>
      </c>
      <c r="O49" s="58">
        <f t="shared" si="0"/>
        <v>0</v>
      </c>
    </row>
    <row r="50" spans="1:15" ht="19.5" thickBot="1" x14ac:dyDescent="0.3">
      <c r="A50" s="320">
        <v>2004</v>
      </c>
      <c r="B50" s="197" t="s">
        <v>3</v>
      </c>
      <c r="C50" s="206"/>
      <c r="D50" s="206"/>
      <c r="E50" s="198"/>
      <c r="F50" s="198"/>
      <c r="G50" s="198"/>
      <c r="H50" s="198"/>
      <c r="I50" s="198"/>
      <c r="J50" s="198"/>
      <c r="K50" s="198"/>
      <c r="L50" s="198"/>
      <c r="M50" s="198"/>
      <c r="N50" s="198"/>
      <c r="O50" s="58">
        <f t="shared" si="0"/>
        <v>0</v>
      </c>
    </row>
    <row r="51" spans="1:15" ht="19.5" thickBot="1" x14ac:dyDescent="0.3">
      <c r="A51" s="321">
        <v>2002</v>
      </c>
      <c r="B51" s="200" t="s">
        <v>4</v>
      </c>
      <c r="C51" s="207"/>
      <c r="D51" s="207"/>
      <c r="E51" s="201"/>
      <c r="F51" s="201"/>
      <c r="G51" s="201"/>
      <c r="H51" s="201"/>
      <c r="I51" s="201"/>
      <c r="J51" s="201"/>
      <c r="K51" s="201"/>
      <c r="L51" s="201"/>
      <c r="M51" s="201"/>
      <c r="N51" s="201"/>
      <c r="O51" s="58">
        <f t="shared" si="0"/>
        <v>0</v>
      </c>
    </row>
    <row r="52" spans="1:15" ht="19.5" thickBot="1" x14ac:dyDescent="0.3">
      <c r="A52" s="322"/>
      <c r="B52" s="203" t="s">
        <v>63</v>
      </c>
      <c r="C52" s="205">
        <f>SUM(C50:C51)</f>
        <v>0</v>
      </c>
      <c r="D52" s="205">
        <f>SUM(D50:D51)</f>
        <v>0</v>
      </c>
      <c r="E52" s="205">
        <f t="shared" ref="E52:N52" si="16">SUM(E50:E51)</f>
        <v>0</v>
      </c>
      <c r="F52" s="205">
        <f t="shared" si="16"/>
        <v>0</v>
      </c>
      <c r="G52" s="205">
        <f t="shared" si="16"/>
        <v>0</v>
      </c>
      <c r="H52" s="205">
        <f t="shared" si="16"/>
        <v>0</v>
      </c>
      <c r="I52" s="205">
        <f t="shared" si="16"/>
        <v>0</v>
      </c>
      <c r="J52" s="205">
        <f t="shared" si="16"/>
        <v>0</v>
      </c>
      <c r="K52" s="205">
        <f t="shared" si="16"/>
        <v>0</v>
      </c>
      <c r="L52" s="205">
        <f t="shared" si="16"/>
        <v>0</v>
      </c>
      <c r="M52" s="205">
        <f t="shared" si="16"/>
        <v>0</v>
      </c>
      <c r="N52" s="211">
        <f t="shared" si="16"/>
        <v>0</v>
      </c>
      <c r="O52" s="58">
        <f t="shared" si="0"/>
        <v>0</v>
      </c>
    </row>
    <row r="53" spans="1:15" ht="19.5" thickBot="1" x14ac:dyDescent="0.3">
      <c r="A53" s="323">
        <v>2003</v>
      </c>
      <c r="B53" s="208" t="s">
        <v>3</v>
      </c>
      <c r="C53" s="206">
        <v>0</v>
      </c>
      <c r="D53" s="206">
        <v>0</v>
      </c>
      <c r="E53" s="198"/>
      <c r="F53" s="198"/>
      <c r="G53" s="198"/>
      <c r="H53" s="198"/>
      <c r="I53" s="198"/>
      <c r="J53" s="198"/>
      <c r="K53" s="198"/>
      <c r="L53" s="198"/>
      <c r="M53" s="198"/>
      <c r="N53" s="198"/>
      <c r="O53" s="58">
        <f t="shared" si="0"/>
        <v>0</v>
      </c>
    </row>
    <row r="54" spans="1:15" ht="19.5" thickBot="1" x14ac:dyDescent="0.3">
      <c r="A54" s="324">
        <v>2001</v>
      </c>
      <c r="B54" s="209" t="s">
        <v>4</v>
      </c>
      <c r="C54" s="207">
        <v>0</v>
      </c>
      <c r="D54" s="207">
        <v>0</v>
      </c>
      <c r="E54" s="201"/>
      <c r="F54" s="201"/>
      <c r="G54" s="201"/>
      <c r="H54" s="201"/>
      <c r="I54" s="201"/>
      <c r="J54" s="201"/>
      <c r="K54" s="201"/>
      <c r="L54" s="201"/>
      <c r="M54" s="201"/>
      <c r="N54" s="201"/>
      <c r="O54" s="58">
        <f t="shared" si="0"/>
        <v>0</v>
      </c>
    </row>
    <row r="55" spans="1:15" ht="19.5" thickBot="1" x14ac:dyDescent="0.3">
      <c r="A55" s="325"/>
      <c r="B55" s="210" t="s">
        <v>63</v>
      </c>
      <c r="C55" s="205">
        <f>SUM(C53:C54)</f>
        <v>0</v>
      </c>
      <c r="D55" s="205">
        <f>SUM(D53:D54)</f>
        <v>0</v>
      </c>
      <c r="E55" s="205">
        <f>SUM(E53:E54)</f>
        <v>0</v>
      </c>
      <c r="F55" s="205">
        <f t="shared" ref="F55:N55" si="17">SUM(F53:F54)</f>
        <v>0</v>
      </c>
      <c r="G55" s="205">
        <f t="shared" si="17"/>
        <v>0</v>
      </c>
      <c r="H55" s="205">
        <f t="shared" si="17"/>
        <v>0</v>
      </c>
      <c r="I55" s="205">
        <f t="shared" si="17"/>
        <v>0</v>
      </c>
      <c r="J55" s="205">
        <f t="shared" si="17"/>
        <v>0</v>
      </c>
      <c r="K55" s="205">
        <f t="shared" si="17"/>
        <v>0</v>
      </c>
      <c r="L55" s="205">
        <v>0</v>
      </c>
      <c r="M55" s="205">
        <f t="shared" si="17"/>
        <v>0</v>
      </c>
      <c r="N55" s="211">
        <f t="shared" si="17"/>
        <v>0</v>
      </c>
      <c r="O55" s="58">
        <f t="shared" si="0"/>
        <v>0</v>
      </c>
    </row>
    <row r="56" spans="1:15" ht="19.5" thickBot="1" x14ac:dyDescent="0.3">
      <c r="A56" s="320">
        <v>2002</v>
      </c>
      <c r="B56" s="197" t="s">
        <v>3</v>
      </c>
      <c r="C56" s="206">
        <v>0</v>
      </c>
      <c r="D56" s="206">
        <v>0</v>
      </c>
      <c r="E56" s="206">
        <v>0</v>
      </c>
      <c r="F56" s="198"/>
      <c r="G56" s="198"/>
      <c r="H56" s="198"/>
      <c r="I56" s="198"/>
      <c r="J56" s="198"/>
      <c r="K56" s="198"/>
      <c r="L56" s="198"/>
      <c r="M56" s="198"/>
      <c r="N56" s="198"/>
      <c r="O56" s="58">
        <f t="shared" si="0"/>
        <v>0</v>
      </c>
    </row>
    <row r="57" spans="1:15" ht="19.5" thickBot="1" x14ac:dyDescent="0.3">
      <c r="A57" s="321">
        <v>2001</v>
      </c>
      <c r="B57" s="200" t="s">
        <v>4</v>
      </c>
      <c r="C57" s="207">
        <v>0</v>
      </c>
      <c r="D57" s="207">
        <v>0</v>
      </c>
      <c r="E57" s="207">
        <v>0</v>
      </c>
      <c r="F57" s="201"/>
      <c r="G57" s="201"/>
      <c r="H57" s="201"/>
      <c r="I57" s="201"/>
      <c r="J57" s="201"/>
      <c r="K57" s="201"/>
      <c r="L57" s="201"/>
      <c r="M57" s="201"/>
      <c r="N57" s="201"/>
      <c r="O57" s="58">
        <f t="shared" si="0"/>
        <v>0</v>
      </c>
    </row>
    <row r="58" spans="1:15" ht="19.5" thickBot="1" x14ac:dyDescent="0.3">
      <c r="A58" s="322"/>
      <c r="B58" s="203" t="s">
        <v>63</v>
      </c>
      <c r="C58" s="205">
        <f>SUM(C56:C57)</f>
        <v>0</v>
      </c>
      <c r="D58" s="205">
        <f>SUM(D56:D57)</f>
        <v>0</v>
      </c>
      <c r="E58" s="205">
        <f>SUM(E56:E57)</f>
        <v>0</v>
      </c>
      <c r="F58" s="205">
        <f t="shared" ref="F58:N58" si="18">SUM(F56:F57)</f>
        <v>0</v>
      </c>
      <c r="G58" s="205">
        <f t="shared" si="18"/>
        <v>0</v>
      </c>
      <c r="H58" s="205">
        <f t="shared" si="18"/>
        <v>0</v>
      </c>
      <c r="I58" s="205">
        <f t="shared" si="18"/>
        <v>0</v>
      </c>
      <c r="J58" s="205">
        <f t="shared" si="18"/>
        <v>0</v>
      </c>
      <c r="K58" s="205">
        <f t="shared" si="18"/>
        <v>0</v>
      </c>
      <c r="L58" s="205">
        <f t="shared" si="18"/>
        <v>0</v>
      </c>
      <c r="M58" s="205">
        <f t="shared" si="18"/>
        <v>0</v>
      </c>
      <c r="N58" s="211">
        <f t="shared" si="18"/>
        <v>0</v>
      </c>
      <c r="O58" s="58">
        <f t="shared" si="0"/>
        <v>0</v>
      </c>
    </row>
    <row r="59" spans="1:15" ht="19.5" thickBot="1" x14ac:dyDescent="0.3">
      <c r="A59" s="323">
        <v>2001</v>
      </c>
      <c r="B59" s="208" t="s">
        <v>3</v>
      </c>
      <c r="C59" s="206">
        <v>0</v>
      </c>
      <c r="D59" s="206">
        <v>0</v>
      </c>
      <c r="E59" s="206">
        <v>0</v>
      </c>
      <c r="F59" s="198"/>
      <c r="G59" s="198"/>
      <c r="H59" s="198"/>
      <c r="I59" s="198"/>
      <c r="J59" s="198"/>
      <c r="K59" s="198"/>
      <c r="L59" s="198"/>
      <c r="M59" s="198"/>
      <c r="N59" s="198"/>
      <c r="O59" s="58">
        <f t="shared" si="0"/>
        <v>0</v>
      </c>
    </row>
    <row r="60" spans="1:15" ht="19.5" thickBot="1" x14ac:dyDescent="0.3">
      <c r="A60" s="324"/>
      <c r="B60" s="209" t="s">
        <v>4</v>
      </c>
      <c r="C60" s="207">
        <v>0</v>
      </c>
      <c r="D60" s="207">
        <v>0</v>
      </c>
      <c r="E60" s="207">
        <v>0</v>
      </c>
      <c r="F60" s="201"/>
      <c r="G60" s="201"/>
      <c r="H60" s="201"/>
      <c r="I60" s="201"/>
      <c r="J60" s="201"/>
      <c r="K60" s="201"/>
      <c r="L60" s="201"/>
      <c r="M60" s="201"/>
      <c r="N60" s="201"/>
      <c r="O60" s="58">
        <f t="shared" si="0"/>
        <v>0</v>
      </c>
    </row>
    <row r="61" spans="1:15" ht="19.5" thickBot="1" x14ac:dyDescent="0.3">
      <c r="A61" s="325"/>
      <c r="B61" s="210" t="s">
        <v>63</v>
      </c>
      <c r="C61" s="205">
        <f>SUM(C59:C60)</f>
        <v>0</v>
      </c>
      <c r="D61" s="205">
        <f>SUM(D59:D60)</f>
        <v>0</v>
      </c>
      <c r="E61" s="205">
        <f>SUM(E59:E60)</f>
        <v>0</v>
      </c>
      <c r="F61" s="205">
        <f>SUM(F59:F60)</f>
        <v>0</v>
      </c>
      <c r="G61" s="205">
        <f t="shared" ref="G61:N61" si="19">SUM(G59:G60)</f>
        <v>0</v>
      </c>
      <c r="H61" s="205">
        <f t="shared" si="19"/>
        <v>0</v>
      </c>
      <c r="I61" s="205">
        <f t="shared" si="19"/>
        <v>0</v>
      </c>
      <c r="J61" s="205">
        <f t="shared" si="19"/>
        <v>0</v>
      </c>
      <c r="K61" s="205">
        <f t="shared" si="19"/>
        <v>0</v>
      </c>
      <c r="L61" s="205">
        <f t="shared" si="19"/>
        <v>0</v>
      </c>
      <c r="M61" s="205">
        <f t="shared" si="19"/>
        <v>0</v>
      </c>
      <c r="N61" s="211">
        <f t="shared" si="19"/>
        <v>0</v>
      </c>
      <c r="O61" s="58">
        <f t="shared" si="0"/>
        <v>0</v>
      </c>
    </row>
    <row r="62" spans="1:15" ht="19.5" thickBot="1" x14ac:dyDescent="0.3">
      <c r="A62" s="320">
        <v>2000</v>
      </c>
      <c r="B62" s="197" t="s">
        <v>3</v>
      </c>
      <c r="C62" s="206">
        <v>0</v>
      </c>
      <c r="D62" s="206">
        <v>0</v>
      </c>
      <c r="E62" s="206">
        <v>0</v>
      </c>
      <c r="F62" s="206">
        <v>0</v>
      </c>
      <c r="G62" s="198"/>
      <c r="H62" s="198"/>
      <c r="I62" s="198"/>
      <c r="J62" s="198"/>
      <c r="K62" s="198"/>
      <c r="L62" s="198"/>
      <c r="M62" s="198"/>
      <c r="N62" s="198"/>
      <c r="O62" s="58">
        <f t="shared" ref="O62:O73" si="20">SUM(L62:N62)</f>
        <v>0</v>
      </c>
    </row>
    <row r="63" spans="1:15" ht="19.5" thickBot="1" x14ac:dyDescent="0.3">
      <c r="A63" s="321"/>
      <c r="B63" s="200" t="s">
        <v>4</v>
      </c>
      <c r="C63" s="207">
        <v>0</v>
      </c>
      <c r="D63" s="207">
        <v>0</v>
      </c>
      <c r="E63" s="207">
        <v>0</v>
      </c>
      <c r="F63" s="207">
        <v>0</v>
      </c>
      <c r="G63" s="201"/>
      <c r="H63" s="201"/>
      <c r="I63" s="201"/>
      <c r="J63" s="201"/>
      <c r="K63" s="201"/>
      <c r="L63" s="201"/>
      <c r="M63" s="201"/>
      <c r="N63" s="201"/>
      <c r="O63" s="58">
        <f t="shared" si="20"/>
        <v>0</v>
      </c>
    </row>
    <row r="64" spans="1:15" ht="19.5" thickBot="1" x14ac:dyDescent="0.3">
      <c r="A64" s="322"/>
      <c r="B64" s="203" t="s">
        <v>63</v>
      </c>
      <c r="C64" s="205">
        <f>SUM(C62:C63)</f>
        <v>0</v>
      </c>
      <c r="D64" s="205">
        <f>SUM(D62:D63)</f>
        <v>0</v>
      </c>
      <c r="E64" s="205">
        <f>SUM(E62:E63)</f>
        <v>0</v>
      </c>
      <c r="F64" s="205">
        <f>SUM(F62:F63)</f>
        <v>0</v>
      </c>
      <c r="G64" s="205">
        <f t="shared" ref="G64:N64" si="21">SUM(G62:G63)</f>
        <v>0</v>
      </c>
      <c r="H64" s="205">
        <f t="shared" si="21"/>
        <v>0</v>
      </c>
      <c r="I64" s="205">
        <f t="shared" si="21"/>
        <v>0</v>
      </c>
      <c r="J64" s="205">
        <f t="shared" si="21"/>
        <v>0</v>
      </c>
      <c r="K64" s="205">
        <f t="shared" si="21"/>
        <v>0</v>
      </c>
      <c r="L64" s="205">
        <f t="shared" si="21"/>
        <v>0</v>
      </c>
      <c r="M64" s="205">
        <f t="shared" si="21"/>
        <v>0</v>
      </c>
      <c r="N64" s="211">
        <f t="shared" si="21"/>
        <v>0</v>
      </c>
      <c r="O64" s="58">
        <f t="shared" si="20"/>
        <v>0</v>
      </c>
    </row>
    <row r="65" spans="1:15" ht="19.5" thickBot="1" x14ac:dyDescent="0.3">
      <c r="A65" s="323">
        <v>1999</v>
      </c>
      <c r="B65" s="208" t="s">
        <v>3</v>
      </c>
      <c r="C65" s="206">
        <v>0</v>
      </c>
      <c r="D65" s="206">
        <v>0</v>
      </c>
      <c r="E65" s="206">
        <v>0</v>
      </c>
      <c r="F65" s="206">
        <v>0</v>
      </c>
      <c r="G65" s="198"/>
      <c r="H65" s="198"/>
      <c r="I65" s="198"/>
      <c r="J65" s="198"/>
      <c r="K65" s="198"/>
      <c r="L65" s="198"/>
      <c r="M65" s="198"/>
      <c r="N65" s="198"/>
      <c r="O65" s="58">
        <f t="shared" si="20"/>
        <v>0</v>
      </c>
    </row>
    <row r="66" spans="1:15" ht="19.5" thickBot="1" x14ac:dyDescent="0.3">
      <c r="A66" s="324"/>
      <c r="B66" s="209" t="s">
        <v>4</v>
      </c>
      <c r="C66" s="207">
        <v>0</v>
      </c>
      <c r="D66" s="207">
        <v>0</v>
      </c>
      <c r="E66" s="207">
        <v>0</v>
      </c>
      <c r="F66" s="207">
        <v>0</v>
      </c>
      <c r="G66" s="201"/>
      <c r="H66" s="201"/>
      <c r="I66" s="201"/>
      <c r="J66" s="201"/>
      <c r="K66" s="201"/>
      <c r="L66" s="201"/>
      <c r="M66" s="201"/>
      <c r="N66" s="201"/>
      <c r="O66" s="58">
        <f t="shared" si="20"/>
        <v>0</v>
      </c>
    </row>
    <row r="67" spans="1:15" ht="19.5" thickBot="1" x14ac:dyDescent="0.3">
      <c r="A67" s="325"/>
      <c r="B67" s="210" t="s">
        <v>63</v>
      </c>
      <c r="C67" s="205">
        <f t="shared" ref="C67:N67" si="22">SUM(C65:C66)</f>
        <v>0</v>
      </c>
      <c r="D67" s="205">
        <f t="shared" si="22"/>
        <v>0</v>
      </c>
      <c r="E67" s="205">
        <f t="shared" si="22"/>
        <v>0</v>
      </c>
      <c r="F67" s="205">
        <f t="shared" si="22"/>
        <v>0</v>
      </c>
      <c r="G67" s="205">
        <f t="shared" si="22"/>
        <v>0</v>
      </c>
      <c r="H67" s="205">
        <f t="shared" si="22"/>
        <v>0</v>
      </c>
      <c r="I67" s="205">
        <f t="shared" si="22"/>
        <v>0</v>
      </c>
      <c r="J67" s="205">
        <f t="shared" si="22"/>
        <v>0</v>
      </c>
      <c r="K67" s="205">
        <f t="shared" si="22"/>
        <v>0</v>
      </c>
      <c r="L67" s="205">
        <f t="shared" si="22"/>
        <v>0</v>
      </c>
      <c r="M67" s="205">
        <f t="shared" si="22"/>
        <v>0</v>
      </c>
      <c r="N67" s="211">
        <f t="shared" si="22"/>
        <v>0</v>
      </c>
      <c r="O67" s="58">
        <f t="shared" si="20"/>
        <v>0</v>
      </c>
    </row>
    <row r="68" spans="1:15" ht="19.5" thickBot="1" x14ac:dyDescent="0.3">
      <c r="A68" s="320">
        <v>1998</v>
      </c>
      <c r="B68" s="197" t="s">
        <v>3</v>
      </c>
      <c r="C68" s="206">
        <v>0</v>
      </c>
      <c r="D68" s="206">
        <v>0</v>
      </c>
      <c r="E68" s="206">
        <v>0</v>
      </c>
      <c r="F68" s="206">
        <v>0</v>
      </c>
      <c r="G68" s="206">
        <v>0</v>
      </c>
      <c r="H68" s="206">
        <v>0</v>
      </c>
      <c r="I68" s="198"/>
      <c r="J68" s="198"/>
      <c r="K68" s="198"/>
      <c r="L68" s="198"/>
      <c r="M68" s="198"/>
      <c r="N68" s="198"/>
      <c r="O68" s="58">
        <f t="shared" si="20"/>
        <v>0</v>
      </c>
    </row>
    <row r="69" spans="1:15" ht="19.5" thickBot="1" x14ac:dyDescent="0.3">
      <c r="A69" s="321">
        <v>2001</v>
      </c>
      <c r="B69" s="200" t="s">
        <v>4</v>
      </c>
      <c r="C69" s="207">
        <v>0</v>
      </c>
      <c r="D69" s="207">
        <v>0</v>
      </c>
      <c r="E69" s="207">
        <v>0</v>
      </c>
      <c r="F69" s="207">
        <v>0</v>
      </c>
      <c r="G69" s="207">
        <v>0</v>
      </c>
      <c r="H69" s="207">
        <v>0</v>
      </c>
      <c r="I69" s="201"/>
      <c r="J69" s="201"/>
      <c r="K69" s="201"/>
      <c r="L69" s="201"/>
      <c r="M69" s="201"/>
      <c r="N69" s="201"/>
      <c r="O69" s="58">
        <f t="shared" si="20"/>
        <v>0</v>
      </c>
    </row>
    <row r="70" spans="1:15" ht="19.5" thickBot="1" x14ac:dyDescent="0.3">
      <c r="A70" s="322"/>
      <c r="B70" s="203" t="s">
        <v>63</v>
      </c>
      <c r="C70" s="205">
        <f>SUM(C68:C69)</f>
        <v>0</v>
      </c>
      <c r="D70" s="205">
        <f>SUM(D68:D69)</f>
        <v>0</v>
      </c>
      <c r="E70" s="205">
        <f t="shared" ref="E70:M70" si="23">SUM(E68:E69)</f>
        <v>0</v>
      </c>
      <c r="F70" s="205">
        <f t="shared" si="23"/>
        <v>0</v>
      </c>
      <c r="G70" s="205">
        <f t="shared" si="23"/>
        <v>0</v>
      </c>
      <c r="H70" s="205">
        <f t="shared" si="23"/>
        <v>0</v>
      </c>
      <c r="I70" s="205">
        <v>0</v>
      </c>
      <c r="J70" s="205">
        <f t="shared" si="23"/>
        <v>0</v>
      </c>
      <c r="K70" s="205">
        <f t="shared" si="23"/>
        <v>0</v>
      </c>
      <c r="L70" s="205">
        <f t="shared" si="23"/>
        <v>0</v>
      </c>
      <c r="M70" s="205">
        <f t="shared" si="23"/>
        <v>0</v>
      </c>
      <c r="N70" s="211">
        <v>0</v>
      </c>
      <c r="O70" s="58">
        <f t="shared" si="20"/>
        <v>0</v>
      </c>
    </row>
    <row r="71" spans="1:15" ht="19.5" thickBot="1" x14ac:dyDescent="0.3">
      <c r="A71" s="323">
        <v>1997</v>
      </c>
      <c r="B71" s="208" t="s">
        <v>3</v>
      </c>
      <c r="C71" s="206">
        <v>0</v>
      </c>
      <c r="D71" s="206">
        <v>0</v>
      </c>
      <c r="E71" s="206">
        <v>0</v>
      </c>
      <c r="F71" s="206">
        <v>0</v>
      </c>
      <c r="G71" s="206">
        <v>0</v>
      </c>
      <c r="H71" s="206">
        <v>0</v>
      </c>
      <c r="I71" s="198"/>
      <c r="J71" s="198"/>
      <c r="K71" s="198"/>
      <c r="L71" s="198"/>
      <c r="M71" s="198"/>
      <c r="N71" s="198"/>
      <c r="O71" s="58">
        <f t="shared" si="20"/>
        <v>0</v>
      </c>
    </row>
    <row r="72" spans="1:15" ht="19.5" thickBot="1" x14ac:dyDescent="0.3">
      <c r="A72" s="324">
        <v>2001</v>
      </c>
      <c r="B72" s="209" t="s">
        <v>4</v>
      </c>
      <c r="C72" s="207">
        <v>0</v>
      </c>
      <c r="D72" s="207">
        <v>0</v>
      </c>
      <c r="E72" s="207">
        <v>0</v>
      </c>
      <c r="F72" s="207">
        <v>0</v>
      </c>
      <c r="G72" s="207">
        <v>0</v>
      </c>
      <c r="H72" s="207">
        <v>0</v>
      </c>
      <c r="I72" s="201"/>
      <c r="J72" s="201"/>
      <c r="K72" s="201"/>
      <c r="L72" s="201"/>
      <c r="M72" s="201"/>
      <c r="N72" s="201"/>
      <c r="O72" s="58">
        <f t="shared" si="20"/>
        <v>0</v>
      </c>
    </row>
    <row r="73" spans="1:15" ht="19.5" thickBot="1" x14ac:dyDescent="0.3">
      <c r="A73" s="325"/>
      <c r="B73" s="210" t="s">
        <v>63</v>
      </c>
      <c r="C73" s="205">
        <f>SUM(C71:C72)</f>
        <v>0</v>
      </c>
      <c r="D73" s="204">
        <f t="shared" ref="D73:N73" si="24">SUM(D71:D72)</f>
        <v>0</v>
      </c>
      <c r="E73" s="204">
        <f t="shared" si="24"/>
        <v>0</v>
      </c>
      <c r="F73" s="204">
        <f t="shared" si="24"/>
        <v>0</v>
      </c>
      <c r="G73" s="204">
        <f t="shared" si="24"/>
        <v>0</v>
      </c>
      <c r="H73" s="204">
        <f t="shared" si="24"/>
        <v>0</v>
      </c>
      <c r="I73" s="204">
        <f t="shared" si="24"/>
        <v>0</v>
      </c>
      <c r="J73" s="204">
        <f t="shared" si="24"/>
        <v>0</v>
      </c>
      <c r="K73" s="204">
        <f t="shared" si="24"/>
        <v>0</v>
      </c>
      <c r="L73" s="204">
        <f t="shared" si="24"/>
        <v>0</v>
      </c>
      <c r="M73" s="204">
        <f t="shared" si="24"/>
        <v>0</v>
      </c>
      <c r="N73" s="212">
        <f t="shared" si="24"/>
        <v>0</v>
      </c>
      <c r="O73" s="58">
        <f t="shared" si="20"/>
        <v>0</v>
      </c>
    </row>
    <row r="74" spans="1:15" ht="19.5" thickBot="1" x14ac:dyDescent="0.3">
      <c r="A74" s="343" t="s">
        <v>187</v>
      </c>
      <c r="B74" s="213" t="s">
        <v>3</v>
      </c>
      <c r="C74" s="214">
        <f>C5+C8+C17+C20+C23+C26+C29+C32+C35+C38+C41+C44+C47+C50+C53+C56+C59+C62+C65+C68+C71+C11+C14</f>
        <v>13</v>
      </c>
      <c r="D74" s="214">
        <f t="shared" ref="D74:N76" si="25">D5+D8+D17+D20+D23+D26+D29+D32+D35+D38+D41+D44+D47+D50+D53+D56+D59+D62+D65+D68+D71</f>
        <v>7</v>
      </c>
      <c r="E74" s="214">
        <f t="shared" si="25"/>
        <v>3</v>
      </c>
      <c r="F74" s="214">
        <f t="shared" si="25"/>
        <v>0</v>
      </c>
      <c r="G74" s="214">
        <f t="shared" si="25"/>
        <v>0</v>
      </c>
      <c r="H74" s="214">
        <f t="shared" si="25"/>
        <v>0</v>
      </c>
      <c r="I74" s="214">
        <f t="shared" si="25"/>
        <v>0</v>
      </c>
      <c r="J74" s="214">
        <f t="shared" si="25"/>
        <v>0</v>
      </c>
      <c r="K74" s="214">
        <f t="shared" si="25"/>
        <v>0</v>
      </c>
      <c r="L74" s="214">
        <f t="shared" si="25"/>
        <v>0</v>
      </c>
      <c r="M74" s="214">
        <f t="shared" si="25"/>
        <v>0</v>
      </c>
      <c r="N74" s="214">
        <f t="shared" si="25"/>
        <v>0</v>
      </c>
      <c r="O74" s="215">
        <f>SUM(C74:N74)</f>
        <v>23</v>
      </c>
    </row>
    <row r="75" spans="1:15" ht="19.5" thickBot="1" x14ac:dyDescent="0.3">
      <c r="A75" s="344">
        <v>2001</v>
      </c>
      <c r="B75" s="216" t="s">
        <v>4</v>
      </c>
      <c r="C75" s="217">
        <f>C6+C9+C18+C21+C24+C27+C30+C33+C36+C39+C42+C45+C48+C51+C54+C57+C60+C63+C66+C69+C72</f>
        <v>15</v>
      </c>
      <c r="D75" s="217">
        <f t="shared" si="25"/>
        <v>10</v>
      </c>
      <c r="E75" s="217">
        <f t="shared" si="25"/>
        <v>3</v>
      </c>
      <c r="F75" s="217">
        <f t="shared" si="25"/>
        <v>0</v>
      </c>
      <c r="G75" s="217">
        <f t="shared" si="25"/>
        <v>0</v>
      </c>
      <c r="H75" s="217">
        <f t="shared" si="25"/>
        <v>0</v>
      </c>
      <c r="I75" s="217">
        <f t="shared" si="25"/>
        <v>0</v>
      </c>
      <c r="J75" s="217">
        <f t="shared" si="25"/>
        <v>0</v>
      </c>
      <c r="K75" s="217">
        <f t="shared" si="25"/>
        <v>0</v>
      </c>
      <c r="L75" s="217">
        <f t="shared" si="25"/>
        <v>0</v>
      </c>
      <c r="M75" s="217">
        <f t="shared" si="25"/>
        <v>0</v>
      </c>
      <c r="N75" s="217">
        <f t="shared" si="25"/>
        <v>0</v>
      </c>
      <c r="O75" s="215">
        <f>SUM(C75:N75)</f>
        <v>28</v>
      </c>
    </row>
    <row r="76" spans="1:15" ht="19.5" thickBot="1" x14ac:dyDescent="0.3">
      <c r="A76" s="345"/>
      <c r="B76" s="218" t="s">
        <v>63</v>
      </c>
      <c r="C76" s="219">
        <f>C7+C10+C19+C22+C25+C28+C31+C34+C37+C40+C43+C46+C49+C52+C55+C58+C61+C64+C67+C70+C73</f>
        <v>28</v>
      </c>
      <c r="D76" s="219">
        <f t="shared" si="25"/>
        <v>17</v>
      </c>
      <c r="E76" s="219">
        <f t="shared" si="25"/>
        <v>6</v>
      </c>
      <c r="F76" s="219">
        <f t="shared" si="25"/>
        <v>0</v>
      </c>
      <c r="G76" s="219">
        <f t="shared" si="25"/>
        <v>0</v>
      </c>
      <c r="H76" s="219">
        <f t="shared" si="25"/>
        <v>0</v>
      </c>
      <c r="I76" s="219">
        <f t="shared" si="25"/>
        <v>0</v>
      </c>
      <c r="J76" s="219">
        <f t="shared" si="25"/>
        <v>0</v>
      </c>
      <c r="K76" s="219">
        <f t="shared" si="25"/>
        <v>0</v>
      </c>
      <c r="L76" s="219">
        <f t="shared" si="25"/>
        <v>0</v>
      </c>
      <c r="M76" s="219">
        <f t="shared" si="25"/>
        <v>0</v>
      </c>
      <c r="N76" s="219">
        <f t="shared" si="25"/>
        <v>0</v>
      </c>
      <c r="O76" s="215">
        <f>SUM(C76:N76)</f>
        <v>51</v>
      </c>
    </row>
    <row r="77" spans="1:15" ht="19.5" thickBot="1" x14ac:dyDescent="0.3">
      <c r="A77" s="343" t="s">
        <v>188</v>
      </c>
      <c r="B77" s="220" t="s">
        <v>3</v>
      </c>
      <c r="C77" s="221" t="e">
        <f>'[1]EFFECTIFS ET PYRAMIDES'!#REF!</f>
        <v>#REF!</v>
      </c>
      <c r="D77" s="221" t="e">
        <f>'[1]EFFECTIFS ET PYRAMIDES'!#REF!</f>
        <v>#REF!</v>
      </c>
      <c r="E77" s="221" t="e">
        <f>'[1]EFFECTIFS ET PYRAMIDES'!#REF!</f>
        <v>#REF!</v>
      </c>
      <c r="F77" s="221" t="e">
        <f>'[1]EFFECTIFS ET PYRAMIDES'!#REF!</f>
        <v>#REF!</v>
      </c>
      <c r="G77" s="221" t="e">
        <f>'[1]EFFECTIFS ET PYRAMIDES'!#REF!</f>
        <v>#REF!</v>
      </c>
      <c r="H77" s="221" t="e">
        <f>'[1]EFFECTIFS ET PYRAMIDES'!#REF!</f>
        <v>#REF!</v>
      </c>
      <c r="I77" s="221" t="e">
        <f>'[1]EFFECTIFS ET PYRAMIDES'!#REF!</f>
        <v>#REF!</v>
      </c>
      <c r="J77" s="221" t="e">
        <f>'[1]EFFECTIFS ET PYRAMIDES'!#REF!</f>
        <v>#REF!</v>
      </c>
      <c r="K77" s="221" t="e">
        <f>'[1]EFFECTIFS ET PYRAMIDES'!#REF!</f>
        <v>#REF!</v>
      </c>
      <c r="L77" s="221" t="e">
        <f>'[1]EFFECTIFS ET PYRAMIDES'!#REF!</f>
        <v>#REF!</v>
      </c>
      <c r="M77" s="221" t="e">
        <f>'[1]EFFECTIFS ET PYRAMIDES'!#REF!</f>
        <v>#REF!</v>
      </c>
      <c r="N77" s="221" t="e">
        <f>'[1]EFFECTIFS ET PYRAMIDES'!#REF!</f>
        <v>#REF!</v>
      </c>
      <c r="O77" s="222" t="e">
        <f>SUM(C77:N77)</f>
        <v>#REF!</v>
      </c>
    </row>
    <row r="78" spans="1:15" ht="19.5" thickBot="1" x14ac:dyDescent="0.3">
      <c r="A78" s="344">
        <v>2001</v>
      </c>
      <c r="B78" s="223" t="s">
        <v>4</v>
      </c>
      <c r="C78" s="221" t="e">
        <f>'[1]EFFECTIFS ET PYRAMIDES'!#REF!</f>
        <v>#REF!</v>
      </c>
      <c r="D78" s="221" t="e">
        <f>'[1]EFFECTIFS ET PYRAMIDES'!#REF!</f>
        <v>#REF!</v>
      </c>
      <c r="E78" s="221" t="e">
        <f>'[1]EFFECTIFS ET PYRAMIDES'!#REF!</f>
        <v>#REF!</v>
      </c>
      <c r="F78" s="221" t="e">
        <f>'[1]EFFECTIFS ET PYRAMIDES'!#REF!</f>
        <v>#REF!</v>
      </c>
      <c r="G78" s="221" t="e">
        <f>'[1]EFFECTIFS ET PYRAMIDES'!#REF!</f>
        <v>#REF!</v>
      </c>
      <c r="H78" s="221" t="e">
        <f>'[1]EFFECTIFS ET PYRAMIDES'!#REF!</f>
        <v>#REF!</v>
      </c>
      <c r="I78" s="221" t="e">
        <f>'[1]EFFECTIFS ET PYRAMIDES'!#REF!</f>
        <v>#REF!</v>
      </c>
      <c r="J78" s="221" t="e">
        <f>'[1]EFFECTIFS ET PYRAMIDES'!#REF!</f>
        <v>#REF!</v>
      </c>
      <c r="K78" s="221" t="e">
        <f>'[1]EFFECTIFS ET PYRAMIDES'!#REF!</f>
        <v>#REF!</v>
      </c>
      <c r="L78" s="221" t="e">
        <f>'[1]EFFECTIFS ET PYRAMIDES'!#REF!</f>
        <v>#REF!</v>
      </c>
      <c r="M78" s="221" t="e">
        <f>'[1]EFFECTIFS ET PYRAMIDES'!#REF!</f>
        <v>#REF!</v>
      </c>
      <c r="N78" s="221" t="e">
        <f>'[1]EFFECTIFS ET PYRAMIDES'!#REF!</f>
        <v>#REF!</v>
      </c>
      <c r="O78" s="222" t="e">
        <f>SUM(C78:N78)</f>
        <v>#REF!</v>
      </c>
    </row>
    <row r="79" spans="1:15" ht="19.5" thickBot="1" x14ac:dyDescent="0.3">
      <c r="A79" s="344"/>
      <c r="B79" s="224" t="s">
        <v>63</v>
      </c>
      <c r="C79" s="221" t="e">
        <f>SUM(C77:C78)</f>
        <v>#REF!</v>
      </c>
      <c r="D79" s="221" t="e">
        <f t="shared" ref="D79:O79" si="26">SUM(D77:D78)</f>
        <v>#REF!</v>
      </c>
      <c r="E79" s="221" t="e">
        <f t="shared" si="26"/>
        <v>#REF!</v>
      </c>
      <c r="F79" s="221" t="e">
        <f t="shared" si="26"/>
        <v>#REF!</v>
      </c>
      <c r="G79" s="221" t="e">
        <f t="shared" si="26"/>
        <v>#REF!</v>
      </c>
      <c r="H79" s="221" t="e">
        <f t="shared" si="26"/>
        <v>#REF!</v>
      </c>
      <c r="I79" s="221" t="e">
        <f t="shared" si="26"/>
        <v>#REF!</v>
      </c>
      <c r="J79" s="221" t="e">
        <f t="shared" si="26"/>
        <v>#REF!</v>
      </c>
      <c r="K79" s="221" t="e">
        <f t="shared" si="26"/>
        <v>#REF!</v>
      </c>
      <c r="L79" s="221" t="e">
        <f t="shared" si="26"/>
        <v>#REF!</v>
      </c>
      <c r="M79" s="221" t="e">
        <f t="shared" si="26"/>
        <v>#REF!</v>
      </c>
      <c r="N79" s="221" t="e">
        <f t="shared" si="26"/>
        <v>#REF!</v>
      </c>
      <c r="O79" s="221" t="e">
        <f t="shared" si="26"/>
        <v>#REF!</v>
      </c>
    </row>
    <row r="80" spans="1:15" ht="32.25" customHeight="1" thickBot="1" x14ac:dyDescent="0.3">
      <c r="A80" s="345"/>
      <c r="B80" s="225" t="s">
        <v>189</v>
      </c>
      <c r="C80" s="226" t="e">
        <f>IF(AND(C77=C74,C78=C75),"OUI","PAS JUSTE")</f>
        <v>#REF!</v>
      </c>
      <c r="D80" s="226" t="e">
        <f t="shared" ref="D80:N80" si="27">IF(AND(D77=D74,D78=D75),"OUI","PAS JUSTE")</f>
        <v>#REF!</v>
      </c>
      <c r="E80" s="226" t="e">
        <f t="shared" si="27"/>
        <v>#REF!</v>
      </c>
      <c r="F80" s="226" t="e">
        <f t="shared" si="27"/>
        <v>#REF!</v>
      </c>
      <c r="G80" s="226" t="e">
        <f t="shared" si="27"/>
        <v>#REF!</v>
      </c>
      <c r="H80" s="226" t="e">
        <f t="shared" si="27"/>
        <v>#REF!</v>
      </c>
      <c r="I80" s="226" t="e">
        <f t="shared" si="27"/>
        <v>#REF!</v>
      </c>
      <c r="J80" s="226" t="e">
        <f t="shared" si="27"/>
        <v>#REF!</v>
      </c>
      <c r="K80" s="226" t="e">
        <f t="shared" si="27"/>
        <v>#REF!</v>
      </c>
      <c r="L80" s="226" t="e">
        <f t="shared" si="27"/>
        <v>#REF!</v>
      </c>
      <c r="M80" s="226" t="e">
        <f t="shared" si="27"/>
        <v>#REF!</v>
      </c>
      <c r="N80" s="226" t="e">
        <f t="shared" si="27"/>
        <v>#REF!</v>
      </c>
      <c r="O80" s="227" t="e">
        <f>IF(AND(C80="OUI",D80="OUI",E80="OUI",F80="OUI",G80="OUI",H80="OUI",I80="OUI",J80="OUI",K80="OUI",L80="OUI",M80="OUI",N80="OUI"),"OUI","PAS JUSTE")</f>
        <v>#REF!</v>
      </c>
    </row>
    <row r="81" spans="1:15" ht="38.25" thickBot="1" x14ac:dyDescent="0.35">
      <c r="A81" s="228"/>
      <c r="B81" s="59" t="s">
        <v>190</v>
      </c>
      <c r="C81" s="57" t="s">
        <v>176</v>
      </c>
      <c r="D81" s="57" t="s">
        <v>177</v>
      </c>
      <c r="E81" s="57" t="s">
        <v>178</v>
      </c>
      <c r="F81" s="57" t="s">
        <v>179</v>
      </c>
      <c r="G81" s="57" t="s">
        <v>180</v>
      </c>
      <c r="H81" s="57" t="s">
        <v>181</v>
      </c>
      <c r="I81" s="57" t="s">
        <v>182</v>
      </c>
      <c r="J81" s="57" t="s">
        <v>183</v>
      </c>
      <c r="K81" s="57" t="s">
        <v>184</v>
      </c>
      <c r="L81" s="57" t="s">
        <v>69</v>
      </c>
      <c r="M81" s="57" t="s">
        <v>70</v>
      </c>
      <c r="N81" s="57" t="s">
        <v>71</v>
      </c>
      <c r="O81" s="57" t="s">
        <v>191</v>
      </c>
    </row>
  </sheetData>
  <mergeCells count="30">
    <mergeCell ref="A71:A73"/>
    <mergeCell ref="A74:A76"/>
    <mergeCell ref="A77:A80"/>
    <mergeCell ref="A14:A16"/>
    <mergeCell ref="A11:A13"/>
    <mergeCell ref="A56:A58"/>
    <mergeCell ref="A59:A61"/>
    <mergeCell ref="A62:A64"/>
    <mergeCell ref="A65:A67"/>
    <mergeCell ref="A68:A70"/>
    <mergeCell ref="A41:A43"/>
    <mergeCell ref="A44:A46"/>
    <mergeCell ref="A47:A49"/>
    <mergeCell ref="A50:A52"/>
    <mergeCell ref="A53:A55"/>
    <mergeCell ref="A23:A25"/>
    <mergeCell ref="O3:O4"/>
    <mergeCell ref="A5:A7"/>
    <mergeCell ref="A8:A10"/>
    <mergeCell ref="A17:A19"/>
    <mergeCell ref="A20:A22"/>
    <mergeCell ref="A3:A4"/>
    <mergeCell ref="B3:B4"/>
    <mergeCell ref="C3:F3"/>
    <mergeCell ref="G3:N3"/>
    <mergeCell ref="A26:A28"/>
    <mergeCell ref="A29:A31"/>
    <mergeCell ref="A32:A34"/>
    <mergeCell ref="A35:A37"/>
    <mergeCell ref="A38:A40"/>
  </mergeCells>
  <dataValidations count="2">
    <dataValidation type="whole" allowBlank="1" showInputMessage="1" showErrorMessage="1" sqref="A81" xr:uid="{5527C899-2F3F-4E8D-95EA-6C4B77959AC5}">
      <formula1>0</formula1>
      <formula2>10000000</formula2>
    </dataValidation>
    <dataValidation type="whole" allowBlank="1" showInputMessage="1" showErrorMessage="1" sqref="C38:N39 C5:N6 C8:N9 C17:C18 C20:D21 C23:E24 C26:F27 C29:H30 C32:K33 C35:N36 D44:N45 C41:N42 E50:N51 D47:N48 F56:N57 E53:N54 G62:N63 F59:N60 I68:N69 G65:N66 I71:N72" xr:uid="{1EFF2A86-8431-4FAD-BBAF-86B051C5B3C1}">
      <formula1>0</formula1>
      <formula2>100000</formula2>
    </dataValidation>
  </dataValidations>
  <printOptions horizontalCentered="1" verticalCentered="1"/>
  <pageMargins left="0.23622047244094491" right="0.23622047244094491" top="0.19685039370078741" bottom="0.55118110236220474" header="0.31496062992125984" footer="0.31496062992125984"/>
  <pageSetup paperSize="9" scale="8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J36"/>
  <sheetViews>
    <sheetView zoomScaleNormal="100" workbookViewId="0">
      <selection sqref="A1:J36"/>
    </sheetView>
  </sheetViews>
  <sheetFormatPr baseColWidth="10" defaultRowHeight="15" x14ac:dyDescent="0.25"/>
  <cols>
    <col min="1" max="1" width="5.28515625" customWidth="1"/>
    <col min="2" max="2" width="30.85546875" style="376" bestFit="1" customWidth="1"/>
    <col min="3" max="3" width="8.5703125" bestFit="1" customWidth="1"/>
    <col min="4" max="4" width="5.85546875" style="259" bestFit="1" customWidth="1"/>
    <col min="5" max="5" width="11.7109375" bestFit="1" customWidth="1"/>
    <col min="6" max="6" width="9.7109375" bestFit="1" customWidth="1"/>
    <col min="7" max="7" width="8.28515625" bestFit="1" customWidth="1"/>
    <col min="8" max="8" width="16.7109375" style="259" bestFit="1" customWidth="1"/>
    <col min="9" max="9" width="8.28515625" bestFit="1" customWidth="1"/>
    <col min="10" max="10" width="53.85546875" bestFit="1" customWidth="1"/>
  </cols>
  <sheetData>
    <row r="1" spans="1:10" ht="18" x14ac:dyDescent="0.25">
      <c r="A1" s="7" t="s">
        <v>18</v>
      </c>
    </row>
    <row r="2" spans="1:10" ht="7.5" customHeight="1" x14ac:dyDescent="0.25"/>
    <row r="3" spans="1:10" ht="15.75" x14ac:dyDescent="0.25">
      <c r="A3" s="13" t="s">
        <v>19</v>
      </c>
    </row>
    <row r="4" spans="1:10" ht="5.25" customHeight="1" thickBot="1" x14ac:dyDescent="0.3">
      <c r="A4" s="3"/>
    </row>
    <row r="5" spans="1:10" ht="15" customHeight="1" thickBot="1" x14ac:dyDescent="0.3">
      <c r="A5" s="348"/>
      <c r="B5" s="377" t="s">
        <v>15</v>
      </c>
      <c r="C5" s="348" t="s">
        <v>20</v>
      </c>
      <c r="D5" s="348" t="s">
        <v>120</v>
      </c>
      <c r="E5" s="353" t="s">
        <v>21</v>
      </c>
      <c r="F5" s="354"/>
      <c r="G5" s="355"/>
      <c r="H5" s="348" t="s">
        <v>24</v>
      </c>
      <c r="I5" s="348" t="s">
        <v>22</v>
      </c>
      <c r="J5" s="348" t="s">
        <v>23</v>
      </c>
    </row>
    <row r="6" spans="1:10" ht="15" customHeight="1" thickBot="1" x14ac:dyDescent="0.3">
      <c r="A6" s="349"/>
      <c r="B6" s="378"/>
      <c r="C6" s="349"/>
      <c r="D6" s="349"/>
      <c r="E6" s="174" t="s">
        <v>25</v>
      </c>
      <c r="F6" s="351" t="s">
        <v>26</v>
      </c>
      <c r="G6" s="352"/>
      <c r="H6" s="349"/>
      <c r="I6" s="349"/>
      <c r="J6" s="349"/>
    </row>
    <row r="7" spans="1:10" ht="13.5" customHeight="1" thickBot="1" x14ac:dyDescent="0.3">
      <c r="A7" s="350"/>
      <c r="B7" s="379"/>
      <c r="C7" s="350"/>
      <c r="D7" s="350"/>
      <c r="E7" s="174" t="s">
        <v>27</v>
      </c>
      <c r="F7" s="71" t="s">
        <v>28</v>
      </c>
      <c r="G7" s="72" t="s">
        <v>27</v>
      </c>
      <c r="H7" s="350"/>
      <c r="I7" s="350"/>
      <c r="J7" s="350"/>
    </row>
    <row r="8" spans="1:10" ht="20.100000000000001" customHeight="1" thickBot="1" x14ac:dyDescent="0.35">
      <c r="A8" s="69">
        <v>1</v>
      </c>
      <c r="B8" s="380" t="s">
        <v>282</v>
      </c>
      <c r="C8" s="173" t="s">
        <v>292</v>
      </c>
      <c r="D8" s="275" t="s">
        <v>4</v>
      </c>
      <c r="E8" s="173"/>
      <c r="F8" s="183" t="s">
        <v>293</v>
      </c>
      <c r="G8" s="173"/>
      <c r="H8" s="275" t="s">
        <v>103</v>
      </c>
      <c r="I8" s="173"/>
      <c r="J8" s="281" t="s">
        <v>301</v>
      </c>
    </row>
    <row r="9" spans="1:10" ht="17.100000000000001" customHeight="1" thickBot="1" x14ac:dyDescent="0.35">
      <c r="A9" s="70">
        <v>2</v>
      </c>
      <c r="B9" s="381" t="s">
        <v>283</v>
      </c>
      <c r="C9" s="173" t="s">
        <v>292</v>
      </c>
      <c r="D9" s="276" t="s">
        <v>250</v>
      </c>
      <c r="E9" s="279"/>
      <c r="F9" s="279" t="s">
        <v>293</v>
      </c>
      <c r="G9" s="279"/>
      <c r="H9" s="280" t="s">
        <v>294</v>
      </c>
      <c r="I9" s="69"/>
      <c r="J9" s="281" t="s">
        <v>302</v>
      </c>
    </row>
    <row r="10" spans="1:10" ht="19.5" customHeight="1" thickBot="1" x14ac:dyDescent="0.35">
      <c r="A10" s="70">
        <v>3</v>
      </c>
      <c r="B10" s="382" t="s">
        <v>267</v>
      </c>
      <c r="C10" s="173" t="s">
        <v>292</v>
      </c>
      <c r="D10" s="276" t="s">
        <v>250</v>
      </c>
      <c r="E10" s="102"/>
      <c r="F10" s="102"/>
      <c r="G10" s="279" t="s">
        <v>293</v>
      </c>
      <c r="H10" s="280" t="s">
        <v>295</v>
      </c>
      <c r="I10" s="70"/>
      <c r="J10" s="70"/>
    </row>
    <row r="11" spans="1:10" ht="18" customHeight="1" thickBot="1" x14ac:dyDescent="0.35">
      <c r="A11" s="70">
        <v>4</v>
      </c>
      <c r="B11" s="383" t="s">
        <v>284</v>
      </c>
      <c r="C11" s="173" t="s">
        <v>292</v>
      </c>
      <c r="D11" s="276" t="s">
        <v>250</v>
      </c>
      <c r="E11" s="102"/>
      <c r="F11" s="102"/>
      <c r="G11" s="279" t="s">
        <v>293</v>
      </c>
      <c r="H11" s="280" t="s">
        <v>160</v>
      </c>
      <c r="I11" s="70"/>
      <c r="J11" s="70"/>
    </row>
    <row r="12" spans="1:10" ht="20.25" customHeight="1" thickBot="1" x14ac:dyDescent="0.35">
      <c r="A12" s="70">
        <v>5</v>
      </c>
      <c r="B12" s="383" t="s">
        <v>285</v>
      </c>
      <c r="C12" s="173" t="s">
        <v>292</v>
      </c>
      <c r="D12" s="276" t="s">
        <v>250</v>
      </c>
      <c r="E12" s="279" t="s">
        <v>293</v>
      </c>
      <c r="F12" s="279"/>
      <c r="G12" s="279"/>
      <c r="H12" s="280" t="s">
        <v>296</v>
      </c>
      <c r="I12" s="70"/>
      <c r="J12" s="70"/>
    </row>
    <row r="13" spans="1:10" ht="23.25" customHeight="1" thickBot="1" x14ac:dyDescent="0.35">
      <c r="A13" s="70">
        <v>6</v>
      </c>
      <c r="B13" s="383" t="s">
        <v>286</v>
      </c>
      <c r="C13" s="173" t="s">
        <v>292</v>
      </c>
      <c r="D13" s="276" t="s">
        <v>250</v>
      </c>
      <c r="E13" s="279"/>
      <c r="F13" s="102"/>
      <c r="G13" s="279" t="s">
        <v>293</v>
      </c>
      <c r="H13" s="280" t="s">
        <v>297</v>
      </c>
      <c r="I13" s="70"/>
      <c r="J13" s="281" t="s">
        <v>303</v>
      </c>
    </row>
    <row r="14" spans="1:10" ht="23.25" customHeight="1" thickBot="1" x14ac:dyDescent="0.35">
      <c r="A14" s="70">
        <v>7</v>
      </c>
      <c r="B14" s="383" t="s">
        <v>287</v>
      </c>
      <c r="C14" s="173" t="s">
        <v>292</v>
      </c>
      <c r="D14" s="275" t="s">
        <v>250</v>
      </c>
      <c r="E14" s="277" t="s">
        <v>293</v>
      </c>
      <c r="F14" s="278"/>
      <c r="G14" s="277"/>
      <c r="H14" s="275" t="s">
        <v>298</v>
      </c>
      <c r="I14" s="70"/>
      <c r="J14" s="70"/>
    </row>
    <row r="15" spans="1:10" ht="20.25" customHeight="1" thickBot="1" x14ac:dyDescent="0.35">
      <c r="A15" s="70">
        <v>8</v>
      </c>
      <c r="B15" s="383" t="s">
        <v>288</v>
      </c>
      <c r="C15" s="173" t="s">
        <v>292</v>
      </c>
      <c r="D15" s="275" t="s">
        <v>250</v>
      </c>
      <c r="E15" s="70" t="s">
        <v>293</v>
      </c>
      <c r="F15" s="183"/>
      <c r="G15" s="70"/>
      <c r="H15" s="275" t="s">
        <v>299</v>
      </c>
      <c r="I15" s="70"/>
      <c r="J15" s="70"/>
    </row>
    <row r="16" spans="1:10" ht="20.25" customHeight="1" thickBot="1" x14ac:dyDescent="0.35">
      <c r="A16" s="70">
        <v>9</v>
      </c>
      <c r="B16" s="383" t="s">
        <v>289</v>
      </c>
      <c r="C16" s="173" t="s">
        <v>292</v>
      </c>
      <c r="D16" s="275" t="s">
        <v>250</v>
      </c>
      <c r="E16" s="70"/>
      <c r="F16" s="183"/>
      <c r="G16" s="70" t="s">
        <v>293</v>
      </c>
      <c r="H16" s="275" t="s">
        <v>300</v>
      </c>
      <c r="I16" s="70"/>
      <c r="J16" s="70"/>
    </row>
    <row r="17" spans="1:10" ht="20.25" customHeight="1" thickBot="1" x14ac:dyDescent="0.35">
      <c r="A17" s="70">
        <v>10</v>
      </c>
      <c r="B17" s="383" t="s">
        <v>290</v>
      </c>
      <c r="C17" s="173" t="s">
        <v>292</v>
      </c>
      <c r="D17" s="275" t="s">
        <v>250</v>
      </c>
      <c r="E17" s="70"/>
      <c r="F17" s="183"/>
      <c r="G17" s="70" t="s">
        <v>293</v>
      </c>
      <c r="H17" s="275" t="s">
        <v>300</v>
      </c>
      <c r="I17" s="70"/>
      <c r="J17" s="70"/>
    </row>
    <row r="18" spans="1:10" ht="20.25" customHeight="1" thickBot="1" x14ac:dyDescent="0.35">
      <c r="A18" s="70">
        <v>11</v>
      </c>
      <c r="B18" s="383" t="s">
        <v>291</v>
      </c>
      <c r="C18" s="173" t="s">
        <v>292</v>
      </c>
      <c r="D18" s="275" t="s">
        <v>250</v>
      </c>
      <c r="E18" s="70"/>
      <c r="F18" s="183" t="s">
        <v>293</v>
      </c>
      <c r="G18" s="70"/>
      <c r="H18" s="275" t="s">
        <v>300</v>
      </c>
      <c r="I18" s="70"/>
      <c r="J18" s="70"/>
    </row>
    <row r="19" spans="1:10" ht="16.5" thickBot="1" x14ac:dyDescent="0.3">
      <c r="A19" s="14" t="s">
        <v>29</v>
      </c>
    </row>
    <row r="20" spans="1:10" ht="19.5" thickBot="1" x14ac:dyDescent="0.35">
      <c r="A20" s="89"/>
      <c r="B20" s="340" t="s">
        <v>89</v>
      </c>
      <c r="C20" s="341"/>
      <c r="D20" s="342"/>
      <c r="E20" s="340" t="s">
        <v>121</v>
      </c>
      <c r="F20" s="341"/>
      <c r="G20" s="342"/>
      <c r="H20" s="340" t="s">
        <v>17</v>
      </c>
      <c r="I20" s="341"/>
      <c r="J20" s="342"/>
    </row>
    <row r="21" spans="1:10" ht="19.5" thickBot="1" x14ac:dyDescent="0.3">
      <c r="A21" s="346" t="s">
        <v>122</v>
      </c>
      <c r="B21" s="340" t="s">
        <v>123</v>
      </c>
      <c r="C21" s="341"/>
      <c r="D21" s="342"/>
      <c r="E21" s="340" t="s">
        <v>123</v>
      </c>
      <c r="F21" s="341"/>
      <c r="G21" s="342"/>
      <c r="H21" s="340" t="s">
        <v>124</v>
      </c>
      <c r="I21" s="341"/>
      <c r="J21" s="342"/>
    </row>
    <row r="22" spans="1:10" ht="19.5" thickBot="1" x14ac:dyDescent="0.3">
      <c r="A22" s="347"/>
      <c r="B22" s="384" t="s">
        <v>4</v>
      </c>
      <c r="C22" s="158" t="s">
        <v>125</v>
      </c>
      <c r="D22" s="155" t="s">
        <v>63</v>
      </c>
      <c r="E22" s="158" t="s">
        <v>4</v>
      </c>
      <c r="F22" s="158" t="s">
        <v>125</v>
      </c>
      <c r="G22" s="155" t="s">
        <v>63</v>
      </c>
      <c r="H22" s="158" t="s">
        <v>4</v>
      </c>
      <c r="I22" s="158" t="s">
        <v>125</v>
      </c>
      <c r="J22" s="155" t="s">
        <v>63</v>
      </c>
    </row>
    <row r="23" spans="1:10" ht="39" thickBot="1" x14ac:dyDescent="0.3">
      <c r="A23" s="192" t="s">
        <v>110</v>
      </c>
      <c r="B23" s="385">
        <v>0</v>
      </c>
      <c r="C23" s="67">
        <v>0</v>
      </c>
      <c r="D23" s="157">
        <f>B23+C23</f>
        <v>0</v>
      </c>
      <c r="E23" s="67"/>
      <c r="F23" s="67"/>
      <c r="G23" s="157">
        <f>E23+F23</f>
        <v>0</v>
      </c>
      <c r="H23" s="95">
        <f>B23+E23</f>
        <v>0</v>
      </c>
      <c r="I23" s="95">
        <f>C23+F23</f>
        <v>0</v>
      </c>
      <c r="J23" s="156">
        <f>D23+G23</f>
        <v>0</v>
      </c>
    </row>
    <row r="24" spans="1:10" ht="29.25" thickBot="1" x14ac:dyDescent="0.3">
      <c r="A24" s="193" t="s">
        <v>103</v>
      </c>
      <c r="B24" s="385">
        <v>1</v>
      </c>
      <c r="C24" s="67">
        <v>0</v>
      </c>
      <c r="D24" s="157">
        <f t="shared" ref="D24:D35" si="0">B24+C24</f>
        <v>1</v>
      </c>
      <c r="E24" s="67"/>
      <c r="F24" s="67"/>
      <c r="G24" s="157">
        <f t="shared" ref="G24:G35" si="1">E24+F24</f>
        <v>0</v>
      </c>
      <c r="H24" s="95">
        <v>1</v>
      </c>
      <c r="I24" s="95">
        <f t="shared" ref="H24:I35" si="2">C24+F24</f>
        <v>0</v>
      </c>
      <c r="J24" s="156">
        <f t="shared" ref="J24:J35" si="3">D24+G24</f>
        <v>1</v>
      </c>
    </row>
    <row r="25" spans="1:10" ht="29.25" thickBot="1" x14ac:dyDescent="0.3">
      <c r="A25" s="193" t="s">
        <v>108</v>
      </c>
      <c r="B25" s="385">
        <v>0</v>
      </c>
      <c r="C25" s="67">
        <v>1</v>
      </c>
      <c r="D25" s="157">
        <f t="shared" si="0"/>
        <v>1</v>
      </c>
      <c r="E25" s="67"/>
      <c r="F25" s="67"/>
      <c r="G25" s="157">
        <f t="shared" si="1"/>
        <v>0</v>
      </c>
      <c r="H25" s="95">
        <f t="shared" si="2"/>
        <v>0</v>
      </c>
      <c r="I25" s="95">
        <f t="shared" si="2"/>
        <v>1</v>
      </c>
      <c r="J25" s="156">
        <f t="shared" si="3"/>
        <v>1</v>
      </c>
    </row>
    <row r="26" spans="1:10" ht="43.5" thickBot="1" x14ac:dyDescent="0.3">
      <c r="A26" s="193" t="s">
        <v>109</v>
      </c>
      <c r="B26" s="385"/>
      <c r="C26" s="67"/>
      <c r="D26" s="157">
        <f t="shared" si="0"/>
        <v>0</v>
      </c>
      <c r="E26" s="67"/>
      <c r="F26" s="67"/>
      <c r="G26" s="157">
        <f t="shared" si="1"/>
        <v>0</v>
      </c>
      <c r="H26" s="95">
        <f t="shared" si="2"/>
        <v>0</v>
      </c>
      <c r="I26" s="95">
        <f t="shared" si="2"/>
        <v>0</v>
      </c>
      <c r="J26" s="156">
        <f t="shared" si="3"/>
        <v>0</v>
      </c>
    </row>
    <row r="27" spans="1:10" ht="43.5" thickBot="1" x14ac:dyDescent="0.3">
      <c r="A27" s="193" t="s">
        <v>111</v>
      </c>
      <c r="B27" s="385">
        <v>0</v>
      </c>
      <c r="C27" s="67">
        <v>1</v>
      </c>
      <c r="D27" s="157">
        <f t="shared" si="0"/>
        <v>1</v>
      </c>
      <c r="E27" s="67"/>
      <c r="F27" s="67"/>
      <c r="G27" s="157">
        <f t="shared" si="1"/>
        <v>0</v>
      </c>
      <c r="H27" s="95">
        <f t="shared" si="2"/>
        <v>0</v>
      </c>
      <c r="I27" s="95">
        <f t="shared" si="2"/>
        <v>1</v>
      </c>
      <c r="J27" s="156">
        <f t="shared" si="3"/>
        <v>1</v>
      </c>
    </row>
    <row r="28" spans="1:10" ht="21.75" thickBot="1" x14ac:dyDescent="0.3">
      <c r="A28" s="192" t="s">
        <v>172</v>
      </c>
      <c r="B28" s="385">
        <v>0</v>
      </c>
      <c r="C28" s="67">
        <v>1</v>
      </c>
      <c r="D28" s="157">
        <f t="shared" si="0"/>
        <v>1</v>
      </c>
      <c r="E28" s="67"/>
      <c r="F28" s="67"/>
      <c r="G28" s="157">
        <f t="shared" si="1"/>
        <v>0</v>
      </c>
      <c r="H28" s="95">
        <f t="shared" si="2"/>
        <v>0</v>
      </c>
      <c r="I28" s="95">
        <f t="shared" si="2"/>
        <v>1</v>
      </c>
      <c r="J28" s="156">
        <f t="shared" si="3"/>
        <v>1</v>
      </c>
    </row>
    <row r="29" spans="1:10" ht="21.75" thickBot="1" x14ac:dyDescent="0.3">
      <c r="A29" s="192" t="s">
        <v>170</v>
      </c>
      <c r="B29" s="385">
        <v>0</v>
      </c>
      <c r="C29" s="67">
        <v>1</v>
      </c>
      <c r="D29" s="157">
        <f t="shared" si="0"/>
        <v>1</v>
      </c>
      <c r="E29" s="67"/>
      <c r="F29" s="67"/>
      <c r="G29" s="157">
        <f t="shared" si="1"/>
        <v>0</v>
      </c>
      <c r="H29" s="95">
        <f t="shared" si="2"/>
        <v>0</v>
      </c>
      <c r="I29" s="95">
        <f t="shared" si="2"/>
        <v>1</v>
      </c>
      <c r="J29" s="156">
        <f t="shared" si="3"/>
        <v>1</v>
      </c>
    </row>
    <row r="30" spans="1:10" ht="29.25" thickBot="1" x14ac:dyDescent="0.3">
      <c r="A30" s="193" t="s">
        <v>164</v>
      </c>
      <c r="B30" s="385">
        <v>0</v>
      </c>
      <c r="C30" s="67">
        <v>1</v>
      </c>
      <c r="D30" s="157">
        <f t="shared" si="0"/>
        <v>1</v>
      </c>
      <c r="E30" s="67"/>
      <c r="F30" s="67"/>
      <c r="G30" s="157">
        <f t="shared" si="1"/>
        <v>0</v>
      </c>
      <c r="H30" s="95">
        <f t="shared" si="2"/>
        <v>0</v>
      </c>
      <c r="I30" s="95">
        <f t="shared" si="2"/>
        <v>1</v>
      </c>
      <c r="J30" s="156">
        <f t="shared" si="3"/>
        <v>1</v>
      </c>
    </row>
    <row r="31" spans="1:10" ht="21.75" thickBot="1" x14ac:dyDescent="0.3">
      <c r="A31" s="193" t="s">
        <v>160</v>
      </c>
      <c r="B31" s="385">
        <v>0</v>
      </c>
      <c r="C31" s="67">
        <v>1</v>
      </c>
      <c r="D31" s="157">
        <f t="shared" si="0"/>
        <v>1</v>
      </c>
      <c r="E31" s="67"/>
      <c r="F31" s="67"/>
      <c r="G31" s="157">
        <f t="shared" si="1"/>
        <v>0</v>
      </c>
      <c r="H31" s="95">
        <f t="shared" si="2"/>
        <v>0</v>
      </c>
      <c r="I31" s="95">
        <f t="shared" si="2"/>
        <v>1</v>
      </c>
      <c r="J31" s="156">
        <f t="shared" si="3"/>
        <v>1</v>
      </c>
    </row>
    <row r="32" spans="1:10" ht="32.25" customHeight="1" thickBot="1" x14ac:dyDescent="0.3">
      <c r="A32" s="193" t="s">
        <v>126</v>
      </c>
      <c r="B32" s="385">
        <v>0</v>
      </c>
      <c r="C32" s="67">
        <v>1</v>
      </c>
      <c r="D32" s="157">
        <f t="shared" si="0"/>
        <v>1</v>
      </c>
      <c r="E32" s="67"/>
      <c r="F32" s="67"/>
      <c r="G32" s="157">
        <f t="shared" si="1"/>
        <v>0</v>
      </c>
      <c r="H32" s="95">
        <f t="shared" si="2"/>
        <v>0</v>
      </c>
      <c r="I32" s="95">
        <f t="shared" si="2"/>
        <v>1</v>
      </c>
      <c r="J32" s="156">
        <f t="shared" si="3"/>
        <v>1</v>
      </c>
    </row>
    <row r="33" spans="1:10" ht="29.25" thickBot="1" x14ac:dyDescent="0.3">
      <c r="A33" s="193" t="s">
        <v>127</v>
      </c>
      <c r="B33" s="385">
        <v>0</v>
      </c>
      <c r="C33" s="67">
        <v>1</v>
      </c>
      <c r="D33" s="157">
        <f t="shared" si="0"/>
        <v>1</v>
      </c>
      <c r="E33" s="67"/>
      <c r="F33" s="67"/>
      <c r="G33" s="157">
        <f t="shared" si="1"/>
        <v>0</v>
      </c>
      <c r="H33" s="95">
        <f t="shared" si="2"/>
        <v>0</v>
      </c>
      <c r="I33" s="95">
        <f t="shared" si="2"/>
        <v>1</v>
      </c>
      <c r="J33" s="156">
        <f t="shared" si="3"/>
        <v>1</v>
      </c>
    </row>
    <row r="34" spans="1:10" ht="20.25" customHeight="1" thickBot="1" x14ac:dyDescent="0.3">
      <c r="A34" s="192" t="s">
        <v>128</v>
      </c>
      <c r="B34" s="385"/>
      <c r="C34" s="67"/>
      <c r="D34" s="157">
        <f t="shared" si="0"/>
        <v>0</v>
      </c>
      <c r="E34" s="67"/>
      <c r="F34" s="67"/>
      <c r="G34" s="157">
        <f t="shared" si="1"/>
        <v>0</v>
      </c>
      <c r="H34" s="95">
        <f t="shared" si="2"/>
        <v>0</v>
      </c>
      <c r="I34" s="95">
        <f t="shared" si="2"/>
        <v>0</v>
      </c>
      <c r="J34" s="156">
        <f t="shared" si="3"/>
        <v>0</v>
      </c>
    </row>
    <row r="35" spans="1:10" ht="21.75" customHeight="1" thickBot="1" x14ac:dyDescent="0.3">
      <c r="A35" s="193" t="s">
        <v>165</v>
      </c>
      <c r="B35" s="385"/>
      <c r="C35" s="67"/>
      <c r="D35" s="157">
        <f t="shared" si="0"/>
        <v>0</v>
      </c>
      <c r="E35" s="67"/>
      <c r="F35" s="67"/>
      <c r="G35" s="157">
        <f t="shared" si="1"/>
        <v>0</v>
      </c>
      <c r="H35" s="95">
        <f t="shared" si="2"/>
        <v>0</v>
      </c>
      <c r="I35" s="95">
        <f t="shared" si="2"/>
        <v>0</v>
      </c>
      <c r="J35" s="156">
        <f t="shared" si="3"/>
        <v>0</v>
      </c>
    </row>
    <row r="36" spans="1:10" ht="43.5" thickBot="1" x14ac:dyDescent="0.3">
      <c r="A36" s="175" t="s">
        <v>17</v>
      </c>
      <c r="B36" s="386" t="e">
        <f>B23+B24+B25+B26+B27+B28+B29+B30+B31+B32+#REF!+B33+B34+#REF!+#REF!+B35+#REF!+#REF!</f>
        <v>#REF!</v>
      </c>
      <c r="C36" s="154" t="e">
        <f>C23+C24+C25+C26+C27+C28+C29+C30+C31+C32+#REF!+C33+C34+#REF!+#REF!+C35+#REF!+#REF!</f>
        <v>#REF!</v>
      </c>
      <c r="D36" s="154" t="e">
        <f>D23+D24+D25+D26+D27+D28+D29+D30+D31+D32+#REF!+D33+D34+#REF!+#REF!+D35+#REF!+#REF!</f>
        <v>#REF!</v>
      </c>
      <c r="E36" s="154" t="e">
        <f>E23+E24+E25+E26+E27+E28+E29+E30+E31+E32+#REF!+E33+E34+#REF!+#REF!+E35+#REF!+#REF!</f>
        <v>#REF!</v>
      </c>
      <c r="F36" s="154" t="e">
        <f>F23+F24+F25+F26+F27+F28+F29+F30+F31+F32+#REF!+F33+F34+#REF!+#REF!+F35+#REF!+#REF!</f>
        <v>#REF!</v>
      </c>
      <c r="G36" s="154" t="e">
        <f>G23+G24+G25+G26+G27+G28+G29+G30+G31+G32+#REF!+G33+G34+#REF!+#REF!+G35+#REF!+#REF!</f>
        <v>#REF!</v>
      </c>
      <c r="H36" s="154" t="e">
        <f>H23+H24+H25+H26+H27+H28+H29+H30+H31+H32+#REF!+H33+H34+#REF!+#REF!+H35+#REF!+#REF!</f>
        <v>#REF!</v>
      </c>
      <c r="I36" s="154" t="e">
        <f>I23+I24+I25+I26+I27+I28+I29+I30+I31+I32+#REF!+I33+I34+#REF!+#REF!+I35+#REF!+#REF!</f>
        <v>#REF!</v>
      </c>
      <c r="J36" s="154" t="e">
        <f>J23+J24+J25+J26+J27+J28+J29+J30+J31+J32+#REF!+J33+J34+#REF!+#REF!+J35+#REF!+#REF!</f>
        <v>#REF!</v>
      </c>
    </row>
  </sheetData>
  <mergeCells count="16">
    <mergeCell ref="I5:I7"/>
    <mergeCell ref="J5:J7"/>
    <mergeCell ref="F6:G6"/>
    <mergeCell ref="A5:A7"/>
    <mergeCell ref="B5:B7"/>
    <mergeCell ref="C5:C7"/>
    <mergeCell ref="D5:D7"/>
    <mergeCell ref="E5:G5"/>
    <mergeCell ref="H5:H7"/>
    <mergeCell ref="B20:D20"/>
    <mergeCell ref="E20:G20"/>
    <mergeCell ref="H20:J20"/>
    <mergeCell ref="A21:A22"/>
    <mergeCell ref="B21:D21"/>
    <mergeCell ref="E21:G21"/>
    <mergeCell ref="H21:J21"/>
  </mergeCells>
  <pageMargins left="0.70866141732283472" right="0.70866141732283472" top="0.74803149606299213" bottom="0.74803149606299213" header="0.31496062992125984" footer="0.31496062992125984"/>
  <pageSetup paperSize="9" scale="80" orientation="landscape" r:id="rId1"/>
  <rowBreaks count="1" manualBreakCount="1">
    <brk id="18" max="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G29"/>
  <sheetViews>
    <sheetView topLeftCell="A10" workbookViewId="0">
      <selection activeCell="B29" sqref="B29"/>
    </sheetView>
  </sheetViews>
  <sheetFormatPr baseColWidth="10" defaultRowHeight="15" x14ac:dyDescent="0.25"/>
  <cols>
    <col min="1" max="1" width="8.7109375" customWidth="1"/>
    <col min="2" max="2" width="37" customWidth="1"/>
    <col min="3" max="3" width="12.85546875" customWidth="1"/>
    <col min="5" max="5" width="17" customWidth="1"/>
    <col min="6" max="6" width="23.42578125" customWidth="1"/>
    <col min="7" max="7" width="18.28515625" customWidth="1"/>
  </cols>
  <sheetData>
    <row r="1" spans="1:7" ht="15.75" x14ac:dyDescent="0.25">
      <c r="A1" s="13" t="s">
        <v>30</v>
      </c>
    </row>
    <row r="2" spans="1:7" ht="10.5" customHeight="1" thickBot="1" x14ac:dyDescent="0.3">
      <c r="A2" s="3"/>
    </row>
    <row r="3" spans="1:7" ht="30.75" thickBot="1" x14ac:dyDescent="0.3">
      <c r="A3" s="10" t="s">
        <v>14</v>
      </c>
      <c r="B3" s="11" t="s">
        <v>15</v>
      </c>
      <c r="C3" s="11" t="s">
        <v>20</v>
      </c>
      <c r="D3" s="11" t="s">
        <v>8</v>
      </c>
      <c r="E3" s="11" t="s">
        <v>31</v>
      </c>
      <c r="F3" s="11" t="s">
        <v>22</v>
      </c>
      <c r="G3" s="11" t="s">
        <v>73</v>
      </c>
    </row>
    <row r="4" spans="1:7" ht="30.75" thickBot="1" x14ac:dyDescent="0.3">
      <c r="A4" s="38">
        <v>1</v>
      </c>
      <c r="B4" s="39" t="s">
        <v>253</v>
      </c>
      <c r="C4" s="39" t="s">
        <v>249</v>
      </c>
      <c r="D4" s="39" t="s">
        <v>250</v>
      </c>
      <c r="E4" s="39" t="s">
        <v>251</v>
      </c>
      <c r="F4" s="39"/>
      <c r="G4" s="39" t="s">
        <v>252</v>
      </c>
    </row>
    <row r="5" spans="1:7" ht="15.75" thickBot="1" x14ac:dyDescent="0.3">
      <c r="A5" s="38">
        <v>2</v>
      </c>
      <c r="B5" s="39" t="s">
        <v>254</v>
      </c>
      <c r="C5" s="39" t="s">
        <v>255</v>
      </c>
      <c r="D5" s="39" t="s">
        <v>4</v>
      </c>
      <c r="E5" s="39" t="s">
        <v>256</v>
      </c>
      <c r="F5" s="39"/>
      <c r="G5" s="39"/>
    </row>
    <row r="6" spans="1:7" ht="15.75" thickBot="1" x14ac:dyDescent="0.3">
      <c r="A6" s="38">
        <v>3</v>
      </c>
      <c r="B6" s="39" t="s">
        <v>257</v>
      </c>
      <c r="C6" s="39" t="s">
        <v>255</v>
      </c>
      <c r="D6" s="39" t="s">
        <v>4</v>
      </c>
      <c r="E6" s="39" t="s">
        <v>258</v>
      </c>
      <c r="F6" s="39"/>
      <c r="G6" s="39"/>
    </row>
    <row r="7" spans="1:7" x14ac:dyDescent="0.25">
      <c r="A7" s="38">
        <v>4</v>
      </c>
      <c r="B7" s="39" t="s">
        <v>259</v>
      </c>
      <c r="C7" s="39" t="s">
        <v>255</v>
      </c>
      <c r="D7" s="39" t="s">
        <v>250</v>
      </c>
      <c r="E7" s="39" t="s">
        <v>260</v>
      </c>
      <c r="F7" s="39"/>
      <c r="G7" s="39"/>
    </row>
    <row r="8" spans="1:7" ht="15.75" thickBot="1" x14ac:dyDescent="0.3">
      <c r="A8" s="38">
        <v>5</v>
      </c>
      <c r="B8" s="39" t="s">
        <v>261</v>
      </c>
      <c r="C8" s="39" t="s">
        <v>262</v>
      </c>
      <c r="D8" s="39" t="s">
        <v>4</v>
      </c>
      <c r="E8" s="39" t="s">
        <v>112</v>
      </c>
      <c r="F8" s="39"/>
      <c r="G8" s="39"/>
    </row>
    <row r="9" spans="1:7" ht="15.75" thickBot="1" x14ac:dyDescent="0.3">
      <c r="A9" s="38">
        <v>6</v>
      </c>
      <c r="B9" s="39" t="s">
        <v>263</v>
      </c>
      <c r="C9" s="39" t="s">
        <v>255</v>
      </c>
      <c r="D9" s="39" t="s">
        <v>4</v>
      </c>
      <c r="E9" s="39" t="s">
        <v>264</v>
      </c>
      <c r="F9" s="39"/>
      <c r="G9" s="39"/>
    </row>
    <row r="10" spans="1:7" ht="15.75" thickBot="1" x14ac:dyDescent="0.3">
      <c r="A10" s="38">
        <v>7</v>
      </c>
      <c r="B10" s="39" t="s">
        <v>265</v>
      </c>
      <c r="C10" s="39" t="s">
        <v>262</v>
      </c>
      <c r="D10" s="39" t="s">
        <v>250</v>
      </c>
      <c r="E10" s="39" t="s">
        <v>266</v>
      </c>
      <c r="F10" s="39"/>
      <c r="G10" s="39"/>
    </row>
    <row r="11" spans="1:7" ht="15.75" thickBot="1" x14ac:dyDescent="0.3">
      <c r="A11" s="38">
        <v>8</v>
      </c>
      <c r="B11" s="39"/>
      <c r="C11" s="39"/>
      <c r="D11" s="39"/>
      <c r="E11" s="39"/>
      <c r="F11" s="39"/>
      <c r="G11" s="39"/>
    </row>
    <row r="12" spans="1:7" ht="15.75" thickBot="1" x14ac:dyDescent="0.3">
      <c r="A12" s="38">
        <v>9</v>
      </c>
      <c r="B12" s="39"/>
      <c r="C12" s="39"/>
      <c r="D12" s="39"/>
      <c r="E12" s="39"/>
      <c r="F12" s="39"/>
      <c r="G12" s="39"/>
    </row>
    <row r="13" spans="1:7" ht="15.75" thickBot="1" x14ac:dyDescent="0.3">
      <c r="A13" s="38">
        <v>10</v>
      </c>
      <c r="B13" s="184"/>
      <c r="C13" s="185"/>
      <c r="D13" s="185"/>
      <c r="E13" s="185"/>
      <c r="F13" s="186"/>
      <c r="G13" s="186"/>
    </row>
    <row r="14" spans="1:7" ht="15.75" thickBot="1" x14ac:dyDescent="0.3">
      <c r="A14" s="38">
        <v>11</v>
      </c>
      <c r="B14" s="184"/>
      <c r="C14" s="185"/>
      <c r="D14" s="185"/>
      <c r="E14" s="185"/>
      <c r="F14" s="186"/>
      <c r="G14" s="186"/>
    </row>
    <row r="15" spans="1:7" ht="15.75" thickBot="1" x14ac:dyDescent="0.3">
      <c r="A15" s="38">
        <v>12</v>
      </c>
      <c r="B15" s="10"/>
      <c r="C15" s="187"/>
      <c r="D15" s="10"/>
      <c r="E15" s="10"/>
      <c r="F15" s="187"/>
      <c r="G15" s="187"/>
    </row>
    <row r="16" spans="1:7" ht="12.75" customHeight="1" x14ac:dyDescent="0.25">
      <c r="A16" s="13"/>
    </row>
    <row r="17" spans="1:6" ht="15.75" thickBot="1" x14ac:dyDescent="0.3"/>
    <row r="18" spans="1:6" ht="19.5" thickBot="1" x14ac:dyDescent="0.35">
      <c r="B18" s="356" t="s">
        <v>129</v>
      </c>
      <c r="C18" s="358" t="s">
        <v>130</v>
      </c>
      <c r="D18" s="359"/>
      <c r="E18" s="359"/>
      <c r="F18" s="77" t="s">
        <v>133</v>
      </c>
    </row>
    <row r="19" spans="1:6" ht="19.5" thickBot="1" x14ac:dyDescent="0.3">
      <c r="B19" s="357"/>
      <c r="C19" s="57" t="s">
        <v>4</v>
      </c>
      <c r="D19" s="57" t="s">
        <v>125</v>
      </c>
      <c r="E19" s="78" t="s">
        <v>17</v>
      </c>
      <c r="F19" s="194"/>
    </row>
    <row r="20" spans="1:6" ht="21.75" thickBot="1" x14ac:dyDescent="0.3">
      <c r="B20" s="195" t="s">
        <v>134</v>
      </c>
      <c r="C20" s="73">
        <v>0</v>
      </c>
      <c r="D20" s="73">
        <v>1</v>
      </c>
      <c r="E20" s="159">
        <f>SUM(C20:D20)</f>
        <v>1</v>
      </c>
      <c r="F20" s="187"/>
    </row>
    <row r="21" spans="1:6" ht="21.75" thickBot="1" x14ac:dyDescent="0.3">
      <c r="B21" s="195" t="s">
        <v>171</v>
      </c>
      <c r="C21" s="75">
        <v>0</v>
      </c>
      <c r="D21" s="75">
        <v>0</v>
      </c>
      <c r="E21" s="159">
        <f t="shared" ref="E21:E27" si="0">SUM(C21:D21)</f>
        <v>0</v>
      </c>
      <c r="F21" s="194"/>
    </row>
    <row r="22" spans="1:6" ht="21.75" thickBot="1" x14ac:dyDescent="0.3">
      <c r="B22" s="195" t="s">
        <v>135</v>
      </c>
      <c r="C22" s="74">
        <v>1</v>
      </c>
      <c r="D22" s="74">
        <v>0</v>
      </c>
      <c r="E22" s="159">
        <f t="shared" si="0"/>
        <v>1</v>
      </c>
      <c r="F22" s="187"/>
    </row>
    <row r="23" spans="1:6" ht="21.75" thickBot="1" x14ac:dyDescent="0.3">
      <c r="B23" s="195" t="s">
        <v>112</v>
      </c>
      <c r="C23" s="74">
        <v>1</v>
      </c>
      <c r="D23" s="74">
        <v>0</v>
      </c>
      <c r="E23" s="159">
        <f t="shared" si="0"/>
        <v>1</v>
      </c>
      <c r="F23" s="194"/>
    </row>
    <row r="24" spans="1:6" ht="21.75" thickBot="1" x14ac:dyDescent="0.3">
      <c r="B24" s="195" t="s">
        <v>136</v>
      </c>
      <c r="C24" s="74">
        <v>0</v>
      </c>
      <c r="D24" s="74">
        <v>1</v>
      </c>
      <c r="E24" s="159">
        <f t="shared" si="0"/>
        <v>1</v>
      </c>
      <c r="F24" s="187"/>
    </row>
    <row r="25" spans="1:6" ht="21.75" thickBot="1" x14ac:dyDescent="0.3">
      <c r="B25" s="196" t="s">
        <v>196</v>
      </c>
      <c r="C25" s="74">
        <v>0</v>
      </c>
      <c r="D25" s="74">
        <v>1</v>
      </c>
      <c r="E25" s="159">
        <f t="shared" si="0"/>
        <v>1</v>
      </c>
      <c r="F25" s="194"/>
    </row>
    <row r="26" spans="1:6" ht="21.75" thickBot="1" x14ac:dyDescent="0.3">
      <c r="B26" s="195" t="s">
        <v>131</v>
      </c>
      <c r="C26" s="75">
        <v>0</v>
      </c>
      <c r="D26" s="75">
        <v>1</v>
      </c>
      <c r="E26" s="159">
        <f t="shared" si="0"/>
        <v>1</v>
      </c>
      <c r="F26" s="187"/>
    </row>
    <row r="27" spans="1:6" ht="21.75" thickBot="1" x14ac:dyDescent="0.3">
      <c r="B27" s="195" t="s">
        <v>132</v>
      </c>
      <c r="C27" s="76"/>
      <c r="D27" s="76"/>
      <c r="E27" s="159">
        <f t="shared" si="0"/>
        <v>0</v>
      </c>
      <c r="F27" s="194"/>
    </row>
    <row r="28" spans="1:6" ht="19.5" thickBot="1" x14ac:dyDescent="0.3">
      <c r="B28" s="160" t="s">
        <v>2</v>
      </c>
      <c r="C28" s="155">
        <f>SUM(C20:C27)</f>
        <v>2</v>
      </c>
      <c r="D28" s="155">
        <f>SUM(D20:D27)</f>
        <v>4</v>
      </c>
      <c r="E28" s="161">
        <f>SUM(E20:E27)</f>
        <v>6</v>
      </c>
      <c r="F28" s="187"/>
    </row>
    <row r="29" spans="1:6" ht="18" x14ac:dyDescent="0.25">
      <c r="A29" s="167"/>
    </row>
  </sheetData>
  <mergeCells count="2">
    <mergeCell ref="B18:B19"/>
    <mergeCell ref="C18:E18"/>
  </mergeCells>
  <dataValidations count="1">
    <dataValidation type="whole" allowBlank="1" showInputMessage="1" showErrorMessage="1" sqref="C20:D21" xr:uid="{00000000-0002-0000-0C00-000000000000}">
      <formula1>0</formula1>
      <formula2>1</formula2>
    </dataValidation>
  </dataValidations>
  <pageMargins left="0.70866141732283472" right="0.70866141732283472" top="0.74803149606299213" bottom="0.74803149606299213" header="0.31496062992125984" footer="0.31496062992125984"/>
  <pageSetup paperSize="9" scale="9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6"/>
  <sheetViews>
    <sheetView workbookViewId="0">
      <selection activeCell="G8" sqref="G8"/>
    </sheetView>
  </sheetViews>
  <sheetFormatPr baseColWidth="10" defaultRowHeight="15" x14ac:dyDescent="0.25"/>
  <cols>
    <col min="1" max="1" width="5.7109375" customWidth="1"/>
    <col min="2" max="2" width="39.140625" customWidth="1"/>
    <col min="3" max="3" width="13.85546875" customWidth="1"/>
    <col min="4" max="4" width="10.140625" customWidth="1"/>
    <col min="5" max="5" width="17.42578125" customWidth="1"/>
    <col min="6" max="6" width="18.85546875" customWidth="1"/>
    <col min="7" max="7" width="23.7109375" customWidth="1"/>
  </cols>
  <sheetData>
    <row r="1" spans="1:7" ht="18.75" x14ac:dyDescent="0.3">
      <c r="A1" s="88" t="s">
        <v>159</v>
      </c>
      <c r="B1" s="89"/>
      <c r="C1" s="89"/>
      <c r="D1" s="89"/>
      <c r="E1" s="89"/>
    </row>
    <row r="4" spans="1:7" ht="15.75" thickBot="1" x14ac:dyDescent="0.3"/>
    <row r="5" spans="1:7" ht="19.5" thickBot="1" x14ac:dyDescent="0.3">
      <c r="A5" s="59" t="s">
        <v>43</v>
      </c>
      <c r="B5" s="68" t="s">
        <v>15</v>
      </c>
      <c r="C5" s="68" t="s">
        <v>6</v>
      </c>
      <c r="D5" s="68" t="s">
        <v>120</v>
      </c>
      <c r="E5" s="68" t="s">
        <v>31</v>
      </c>
      <c r="F5" s="68" t="s">
        <v>152</v>
      </c>
      <c r="G5" s="68" t="s">
        <v>153</v>
      </c>
    </row>
    <row r="6" spans="1:7" ht="19.5" thickBot="1" x14ac:dyDescent="0.3">
      <c r="A6" s="90">
        <v>1</v>
      </c>
      <c r="B6" s="74" t="s">
        <v>267</v>
      </c>
      <c r="C6" s="74"/>
      <c r="D6" s="74" t="s">
        <v>250</v>
      </c>
      <c r="E6" s="74" t="s">
        <v>268</v>
      </c>
      <c r="F6" s="91">
        <v>504255224</v>
      </c>
      <c r="G6" s="75"/>
    </row>
    <row r="7" spans="1:7" ht="19.5" thickBot="1" x14ac:dyDescent="0.3">
      <c r="A7" s="90">
        <v>2</v>
      </c>
      <c r="B7" s="74" t="s">
        <v>269</v>
      </c>
      <c r="C7" s="74"/>
      <c r="D7" s="74" t="s">
        <v>250</v>
      </c>
      <c r="E7" s="74" t="s">
        <v>270</v>
      </c>
      <c r="F7" s="91">
        <v>140383376</v>
      </c>
      <c r="G7" s="75"/>
    </row>
    <row r="8" spans="1:7" ht="18.75" x14ac:dyDescent="0.25">
      <c r="A8" s="90">
        <v>3</v>
      </c>
      <c r="B8" s="74"/>
      <c r="C8" s="74"/>
      <c r="D8" s="74"/>
      <c r="E8" s="74"/>
      <c r="F8" s="91"/>
      <c r="G8" s="75"/>
    </row>
    <row r="9" spans="1:7" ht="19.5" thickBot="1" x14ac:dyDescent="0.3">
      <c r="A9" s="90">
        <v>4</v>
      </c>
      <c r="B9" s="74"/>
      <c r="C9" s="74"/>
      <c r="D9" s="74"/>
      <c r="E9" s="74"/>
      <c r="F9" s="91"/>
      <c r="G9" s="75"/>
    </row>
    <row r="10" spans="1:7" ht="19.5" thickBot="1" x14ac:dyDescent="0.3">
      <c r="A10" s="90">
        <v>5</v>
      </c>
      <c r="B10" s="74"/>
      <c r="C10" s="74"/>
      <c r="D10" s="74"/>
      <c r="E10" s="74"/>
      <c r="F10" s="91"/>
      <c r="G10" s="75"/>
    </row>
    <row r="11" spans="1:7" ht="19.5" thickBot="1" x14ac:dyDescent="0.3">
      <c r="A11" s="90">
        <v>6</v>
      </c>
      <c r="B11" s="74"/>
      <c r="C11" s="74"/>
      <c r="D11" s="74"/>
      <c r="E11" s="74"/>
      <c r="F11" s="91"/>
      <c r="G11" s="75"/>
    </row>
    <row r="12" spans="1:7" ht="19.5" thickBot="1" x14ac:dyDescent="0.3">
      <c r="A12" s="90">
        <v>7</v>
      </c>
      <c r="B12" s="74"/>
      <c r="C12" s="74"/>
      <c r="D12" s="74"/>
      <c r="E12" s="74"/>
      <c r="F12" s="91"/>
      <c r="G12" s="75"/>
    </row>
    <row r="13" spans="1:7" ht="19.5" thickBot="1" x14ac:dyDescent="0.3">
      <c r="A13" s="90">
        <v>8</v>
      </c>
      <c r="B13" s="74"/>
      <c r="C13" s="74"/>
      <c r="D13" s="74"/>
      <c r="E13" s="74"/>
      <c r="F13" s="91"/>
      <c r="G13" s="75"/>
    </row>
    <row r="14" spans="1:7" ht="19.5" thickBot="1" x14ac:dyDescent="0.3">
      <c r="A14" s="90">
        <v>9</v>
      </c>
      <c r="B14" s="74"/>
      <c r="C14" s="74"/>
      <c r="D14" s="74"/>
      <c r="E14" s="74"/>
      <c r="F14" s="91"/>
      <c r="G14" s="75"/>
    </row>
    <row r="15" spans="1:7" ht="19.5" thickBot="1" x14ac:dyDescent="0.3">
      <c r="A15" s="90">
        <v>10</v>
      </c>
      <c r="B15" s="74"/>
      <c r="C15" s="74"/>
      <c r="D15" s="74"/>
      <c r="E15" s="74"/>
      <c r="F15" s="91"/>
      <c r="G15" s="75"/>
    </row>
    <row r="16" spans="1:7" ht="19.5" thickBot="1" x14ac:dyDescent="0.3">
      <c r="A16" s="90"/>
      <c r="B16" s="74"/>
      <c r="C16" s="74"/>
      <c r="D16" s="74"/>
      <c r="E16" s="74"/>
      <c r="F16" s="91"/>
      <c r="G16" s="75"/>
    </row>
    <row r="17" spans="1:5" ht="18.75" thickBot="1" x14ac:dyDescent="0.3">
      <c r="A17" s="167"/>
    </row>
    <row r="18" spans="1:5" ht="19.5" thickBot="1" x14ac:dyDescent="0.3">
      <c r="A18" s="360" t="s">
        <v>43</v>
      </c>
      <c r="B18" s="320" t="s">
        <v>144</v>
      </c>
      <c r="C18" s="358" t="s">
        <v>145</v>
      </c>
      <c r="D18" s="359"/>
      <c r="E18" s="362"/>
    </row>
    <row r="19" spans="1:5" ht="19.5" thickBot="1" x14ac:dyDescent="0.3">
      <c r="A19" s="361"/>
      <c r="B19" s="322"/>
      <c r="C19" s="57" t="s">
        <v>4</v>
      </c>
      <c r="D19" s="57" t="s">
        <v>125</v>
      </c>
      <c r="E19" s="57" t="s">
        <v>2</v>
      </c>
    </row>
    <row r="20" spans="1:5" ht="19.5" thickBot="1" x14ac:dyDescent="0.3">
      <c r="A20" s="164">
        <v>1</v>
      </c>
      <c r="B20" s="165" t="s">
        <v>146</v>
      </c>
      <c r="C20" s="75">
        <v>0</v>
      </c>
      <c r="D20" s="75">
        <v>0</v>
      </c>
      <c r="E20" s="162">
        <f t="shared" ref="E20:E25" si="0">SUM(C20:D20)</f>
        <v>0</v>
      </c>
    </row>
    <row r="21" spans="1:5" ht="19.5" thickBot="1" x14ac:dyDescent="0.3">
      <c r="A21" s="164">
        <v>2</v>
      </c>
      <c r="B21" s="165" t="s">
        <v>147</v>
      </c>
      <c r="C21" s="75">
        <v>0</v>
      </c>
      <c r="D21" s="75">
        <v>0</v>
      </c>
      <c r="E21" s="162">
        <f t="shared" si="0"/>
        <v>0</v>
      </c>
    </row>
    <row r="22" spans="1:5" ht="19.5" thickBot="1" x14ac:dyDescent="0.3">
      <c r="A22" s="164">
        <v>3</v>
      </c>
      <c r="B22" s="165" t="s">
        <v>148</v>
      </c>
      <c r="C22" s="75">
        <v>0</v>
      </c>
      <c r="D22" s="75">
        <v>0</v>
      </c>
      <c r="E22" s="162">
        <f t="shared" si="0"/>
        <v>0</v>
      </c>
    </row>
    <row r="23" spans="1:5" ht="19.5" thickBot="1" x14ac:dyDescent="0.3">
      <c r="A23" s="164">
        <v>4</v>
      </c>
      <c r="B23" s="165" t="s">
        <v>149</v>
      </c>
      <c r="C23" s="75">
        <v>0</v>
      </c>
      <c r="D23" s="75">
        <v>1</v>
      </c>
      <c r="E23" s="162">
        <f t="shared" si="0"/>
        <v>1</v>
      </c>
    </row>
    <row r="24" spans="1:5" ht="19.5" thickBot="1" x14ac:dyDescent="0.3">
      <c r="A24" s="164">
        <v>5</v>
      </c>
      <c r="B24" s="165" t="s">
        <v>150</v>
      </c>
      <c r="C24" s="75">
        <v>1</v>
      </c>
      <c r="D24" s="75">
        <v>0</v>
      </c>
      <c r="E24" s="162">
        <f t="shared" si="0"/>
        <v>1</v>
      </c>
    </row>
    <row r="25" spans="1:5" ht="19.5" thickBot="1" x14ac:dyDescent="0.3">
      <c r="A25" s="164">
        <v>6</v>
      </c>
      <c r="B25" s="165" t="s">
        <v>151</v>
      </c>
      <c r="C25" s="75">
        <v>0</v>
      </c>
      <c r="D25" s="75">
        <v>0</v>
      </c>
      <c r="E25" s="162">
        <f t="shared" si="0"/>
        <v>0</v>
      </c>
    </row>
    <row r="26" spans="1:5" ht="19.5" thickBot="1" x14ac:dyDescent="0.3">
      <c r="A26" s="164">
        <v>7</v>
      </c>
      <c r="B26" s="190" t="s">
        <v>169</v>
      </c>
      <c r="C26" s="191">
        <v>0</v>
      </c>
      <c r="D26" s="191">
        <v>0</v>
      </c>
      <c r="E26" s="163">
        <f>SUM(E17:E25)</f>
        <v>2</v>
      </c>
    </row>
  </sheetData>
  <mergeCells count="3">
    <mergeCell ref="A18:A19"/>
    <mergeCell ref="B18:B19"/>
    <mergeCell ref="C18:E18"/>
  </mergeCells>
  <printOptions horizontalCentered="1" verticalCentered="1"/>
  <pageMargins left="0.70866141732283472" right="0.51181102362204722" top="0.74803149606299213" bottom="0.74803149606299213" header="0.31496062992125984" footer="0.31496062992125984"/>
  <pageSetup paperSize="9" orientation="landscape" horizont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J73"/>
  <sheetViews>
    <sheetView topLeftCell="A37" zoomScaleNormal="100" workbookViewId="0">
      <selection activeCell="E64" sqref="E64"/>
    </sheetView>
  </sheetViews>
  <sheetFormatPr baseColWidth="10" defaultRowHeight="15" x14ac:dyDescent="0.25"/>
  <cols>
    <col min="1" max="1" width="6" customWidth="1"/>
    <col min="2" max="2" width="4.85546875" customWidth="1"/>
    <col min="3" max="3" width="13.28515625" customWidth="1"/>
    <col min="4" max="4" width="25.140625" customWidth="1"/>
    <col min="5" max="5" width="8.5703125" customWidth="1"/>
    <col min="6" max="6" width="10.5703125" customWidth="1"/>
    <col min="7" max="7" width="16.5703125" customWidth="1"/>
    <col min="8" max="8" width="12.42578125" customWidth="1"/>
    <col min="9" max="9" width="12.7109375" customWidth="1"/>
    <col min="10" max="10" width="6.42578125" customWidth="1"/>
    <col min="11" max="11" width="5.85546875" customWidth="1"/>
    <col min="12" max="12" width="6.42578125" customWidth="1"/>
  </cols>
  <sheetData>
    <row r="1" spans="1:10" ht="15.75" x14ac:dyDescent="0.25">
      <c r="B1" s="14" t="s">
        <v>32</v>
      </c>
    </row>
    <row r="2" spans="1:10" ht="10.5" customHeight="1" x14ac:dyDescent="0.25"/>
    <row r="3" spans="1:10" ht="17.25" customHeight="1" x14ac:dyDescent="0.25">
      <c r="B3" s="365" t="s">
        <v>197</v>
      </c>
      <c r="C3" s="365"/>
      <c r="D3" s="365"/>
    </row>
    <row r="4" spans="1:10" ht="11.25" customHeight="1" thickBot="1" x14ac:dyDescent="0.3">
      <c r="B4" s="3"/>
      <c r="J4" s="8"/>
    </row>
    <row r="5" spans="1:10" ht="76.5" customHeight="1" thickBot="1" x14ac:dyDescent="0.3">
      <c r="B5" s="10" t="s">
        <v>33</v>
      </c>
      <c r="C5" s="11" t="s">
        <v>34</v>
      </c>
      <c r="D5" s="11" t="s">
        <v>15</v>
      </c>
      <c r="E5" s="11" t="s">
        <v>37</v>
      </c>
      <c r="F5" s="11" t="s">
        <v>35</v>
      </c>
      <c r="G5" s="10" t="s">
        <v>38</v>
      </c>
      <c r="H5" s="18" t="s">
        <v>39</v>
      </c>
      <c r="I5" s="10" t="s">
        <v>40</v>
      </c>
    </row>
    <row r="6" spans="1:10" ht="15.75" thickBot="1" x14ac:dyDescent="0.3">
      <c r="B6" s="38">
        <v>1</v>
      </c>
      <c r="C6" s="39"/>
      <c r="D6" s="39"/>
      <c r="E6" s="39"/>
      <c r="F6" s="39"/>
      <c r="G6" s="10"/>
      <c r="H6" s="18"/>
      <c r="I6" s="38"/>
    </row>
    <row r="7" spans="1:10" ht="15.75" thickBot="1" x14ac:dyDescent="0.3">
      <c r="B7" s="38">
        <v>2</v>
      </c>
      <c r="C7" s="39"/>
      <c r="D7" s="39"/>
      <c r="E7" s="39"/>
      <c r="F7" s="39"/>
      <c r="G7" s="10"/>
      <c r="H7" s="18"/>
      <c r="I7" s="38"/>
    </row>
    <row r="8" spans="1:10" ht="15.75" thickBot="1" x14ac:dyDescent="0.3">
      <c r="B8" s="38">
        <v>3</v>
      </c>
      <c r="C8" s="39"/>
      <c r="D8" s="39"/>
      <c r="E8" s="39"/>
      <c r="F8" s="39"/>
      <c r="G8" s="10"/>
      <c r="H8" s="18"/>
      <c r="I8" s="38"/>
    </row>
    <row r="9" spans="1:10" ht="15.75" thickBot="1" x14ac:dyDescent="0.3">
      <c r="B9" s="38">
        <v>4</v>
      </c>
      <c r="C9" s="39"/>
      <c r="D9" s="39"/>
      <c r="E9" s="39"/>
      <c r="F9" s="39"/>
      <c r="G9" s="10"/>
      <c r="H9" s="18"/>
      <c r="I9" s="38"/>
    </row>
    <row r="10" spans="1:10" ht="15.75" thickBot="1" x14ac:dyDescent="0.3">
      <c r="B10" s="38">
        <v>5</v>
      </c>
      <c r="C10" s="39"/>
      <c r="D10" s="39"/>
      <c r="E10" s="39"/>
      <c r="F10" s="39"/>
      <c r="G10" s="10"/>
      <c r="H10" s="18"/>
      <c r="I10" s="38"/>
    </row>
    <row r="11" spans="1:10" ht="15.75" thickBot="1" x14ac:dyDescent="0.3">
      <c r="B11" s="38">
        <v>6</v>
      </c>
      <c r="C11" s="39"/>
      <c r="D11" s="39"/>
      <c r="E11" s="39"/>
      <c r="F11" s="39"/>
      <c r="G11" s="10"/>
      <c r="H11" s="18"/>
      <c r="I11" s="38"/>
    </row>
    <row r="12" spans="1:10" ht="15.75" thickBot="1" x14ac:dyDescent="0.3">
      <c r="B12" s="3"/>
    </row>
    <row r="13" spans="1:10" ht="18.95" customHeight="1" thickBot="1" x14ac:dyDescent="0.3">
      <c r="A13" s="366" t="s">
        <v>139</v>
      </c>
      <c r="B13" s="367"/>
      <c r="C13" s="367"/>
      <c r="D13" s="367"/>
      <c r="E13" s="368"/>
      <c r="F13" s="366" t="s">
        <v>140</v>
      </c>
      <c r="G13" s="367"/>
      <c r="H13" s="367"/>
      <c r="I13" s="368"/>
      <c r="J13" s="363" t="s">
        <v>72</v>
      </c>
    </row>
    <row r="14" spans="1:10" ht="18.600000000000001" customHeight="1" thickBot="1" x14ac:dyDescent="0.3">
      <c r="A14" s="83" t="s">
        <v>65</v>
      </c>
      <c r="B14" s="83" t="s">
        <v>66</v>
      </c>
      <c r="C14" s="83" t="s">
        <v>67</v>
      </c>
      <c r="D14" s="83" t="s">
        <v>68</v>
      </c>
      <c r="E14" s="83" t="s">
        <v>2</v>
      </c>
      <c r="F14" s="83" t="s">
        <v>141</v>
      </c>
      <c r="G14" s="83" t="s">
        <v>142</v>
      </c>
      <c r="H14" s="83" t="s">
        <v>143</v>
      </c>
      <c r="I14" s="83" t="s">
        <v>2</v>
      </c>
      <c r="J14" s="364"/>
    </row>
    <row r="15" spans="1:10" ht="32.25" customHeight="1" thickBot="1" x14ac:dyDescent="0.3">
      <c r="A15" s="58">
        <v>0</v>
      </c>
      <c r="B15" s="58">
        <v>0</v>
      </c>
      <c r="C15" s="58">
        <v>0</v>
      </c>
      <c r="D15" s="58"/>
      <c r="E15" s="58">
        <f>SUM(A15:D15)</f>
        <v>0</v>
      </c>
      <c r="F15" s="58"/>
      <c r="G15" s="58"/>
      <c r="H15" s="58"/>
      <c r="I15" s="58">
        <f>SUM(F15:H15)</f>
        <v>0</v>
      </c>
      <c r="J15" s="84">
        <f>E15+I15</f>
        <v>0</v>
      </c>
    </row>
    <row r="16" spans="1:10" x14ac:dyDescent="0.25">
      <c r="B16" s="8"/>
    </row>
    <row r="18" spans="2:9" ht="18" x14ac:dyDescent="0.25">
      <c r="B18" s="365" t="s">
        <v>198</v>
      </c>
      <c r="C18" s="365"/>
      <c r="D18" s="365"/>
    </row>
    <row r="19" spans="2:9" ht="7.5" customHeight="1" thickBot="1" x14ac:dyDescent="0.3"/>
    <row r="20" spans="2:9" ht="45.75" thickBot="1" x14ac:dyDescent="0.3">
      <c r="B20" s="10" t="s">
        <v>33</v>
      </c>
      <c r="C20" s="11" t="s">
        <v>34</v>
      </c>
      <c r="D20" s="11" t="s">
        <v>15</v>
      </c>
      <c r="E20" s="11" t="s">
        <v>35</v>
      </c>
      <c r="F20" s="11" t="s">
        <v>36</v>
      </c>
      <c r="G20" s="17" t="s">
        <v>40</v>
      </c>
    </row>
    <row r="21" spans="2:9" ht="15.75" thickBot="1" x14ac:dyDescent="0.3">
      <c r="B21" s="38">
        <v>1</v>
      </c>
      <c r="C21" s="39"/>
      <c r="D21" s="39"/>
      <c r="E21" s="39"/>
      <c r="F21" s="39"/>
      <c r="G21" s="17"/>
    </row>
    <row r="22" spans="2:9" ht="15.75" thickBot="1" x14ac:dyDescent="0.3">
      <c r="B22" s="38">
        <v>2</v>
      </c>
      <c r="C22" s="39"/>
      <c r="D22" s="39"/>
      <c r="E22" s="39"/>
      <c r="F22" s="39"/>
      <c r="G22" s="17"/>
    </row>
    <row r="23" spans="2:9" ht="15.75" thickBot="1" x14ac:dyDescent="0.3">
      <c r="B23" s="38">
        <v>3</v>
      </c>
      <c r="C23" s="39"/>
      <c r="D23" s="39"/>
      <c r="E23" s="39"/>
      <c r="F23" s="39"/>
      <c r="G23" s="17"/>
    </row>
    <row r="24" spans="2:9" ht="15.75" thickBot="1" x14ac:dyDescent="0.3">
      <c r="B24" s="38">
        <v>4</v>
      </c>
      <c r="C24" s="39"/>
      <c r="D24" s="39"/>
      <c r="E24" s="39"/>
      <c r="F24" s="39"/>
      <c r="G24" s="17"/>
    </row>
    <row r="25" spans="2:9" ht="15.75" thickBot="1" x14ac:dyDescent="0.3">
      <c r="B25" s="38">
        <v>5</v>
      </c>
      <c r="C25" s="39"/>
      <c r="D25" s="39"/>
      <c r="E25" s="39"/>
      <c r="F25" s="39"/>
      <c r="G25" s="17"/>
    </row>
    <row r="26" spans="2:9" ht="15.75" thickBot="1" x14ac:dyDescent="0.3">
      <c r="B26" s="86"/>
      <c r="C26" s="87"/>
      <c r="D26" s="87"/>
      <c r="E26" s="87"/>
      <c r="F26" s="87"/>
    </row>
    <row r="27" spans="2:9" ht="30.75" customHeight="1" thickBot="1" x14ac:dyDescent="0.3">
      <c r="B27" s="372" t="s">
        <v>205</v>
      </c>
      <c r="C27" s="373"/>
      <c r="D27" s="373"/>
      <c r="E27" s="373"/>
      <c r="F27" s="374"/>
      <c r="G27" s="81">
        <f>SUM(C21:C25)</f>
        <v>0</v>
      </c>
    </row>
    <row r="28" spans="2:9" ht="10.5" customHeight="1" x14ac:dyDescent="0.25">
      <c r="B28" s="86"/>
      <c r="C28" s="87"/>
      <c r="D28" s="87"/>
      <c r="E28" s="87"/>
      <c r="F28" s="87"/>
    </row>
    <row r="29" spans="2:9" ht="18" customHeight="1" x14ac:dyDescent="0.25">
      <c r="B29" s="28" t="s">
        <v>199</v>
      </c>
      <c r="C29" s="29"/>
    </row>
    <row r="30" spans="2:9" ht="9.75" customHeight="1" thickBot="1" x14ac:dyDescent="0.3">
      <c r="B30" s="28"/>
      <c r="C30" s="29"/>
    </row>
    <row r="31" spans="2:9" ht="43.5" thickBot="1" x14ac:dyDescent="0.3">
      <c r="B31" s="22" t="s">
        <v>43</v>
      </c>
      <c r="C31" s="23" t="s">
        <v>6</v>
      </c>
      <c r="D31" s="23" t="s">
        <v>74</v>
      </c>
      <c r="E31" s="23" t="s">
        <v>0</v>
      </c>
      <c r="F31" s="23" t="s">
        <v>120</v>
      </c>
      <c r="G31" s="23" t="s">
        <v>76</v>
      </c>
      <c r="H31" s="176" t="s">
        <v>75</v>
      </c>
      <c r="I31" s="23" t="s">
        <v>77</v>
      </c>
    </row>
    <row r="32" spans="2:9" ht="16.5" thickBot="1" x14ac:dyDescent="0.3">
      <c r="B32" s="38">
        <v>1</v>
      </c>
      <c r="C32" s="40"/>
      <c r="D32" s="40"/>
      <c r="E32" s="40"/>
      <c r="F32" s="40"/>
      <c r="G32" s="40"/>
      <c r="H32" s="40"/>
      <c r="I32" s="40"/>
    </row>
    <row r="33" spans="2:9" ht="16.5" thickBot="1" x14ac:dyDescent="0.3">
      <c r="B33" s="38">
        <v>2</v>
      </c>
      <c r="C33" s="40"/>
      <c r="D33" s="40"/>
      <c r="E33" s="40"/>
      <c r="F33" s="40"/>
      <c r="G33" s="40"/>
      <c r="H33" s="40"/>
      <c r="I33" s="40"/>
    </row>
    <row r="34" spans="2:9" ht="16.5" thickBot="1" x14ac:dyDescent="0.3">
      <c r="B34" s="38">
        <v>3</v>
      </c>
      <c r="C34" s="40"/>
      <c r="D34" s="40"/>
      <c r="E34" s="40"/>
      <c r="F34" s="40"/>
      <c r="G34" s="40"/>
      <c r="H34" s="40"/>
      <c r="I34" s="40"/>
    </row>
    <row r="35" spans="2:9" ht="16.5" thickBot="1" x14ac:dyDescent="0.3">
      <c r="B35" s="38">
        <v>4</v>
      </c>
      <c r="C35" s="40"/>
      <c r="D35" s="40"/>
      <c r="E35" s="40"/>
      <c r="F35" s="40"/>
      <c r="G35" s="40"/>
      <c r="H35" s="40"/>
      <c r="I35" s="40"/>
    </row>
    <row r="36" spans="2:9" ht="16.5" thickBot="1" x14ac:dyDescent="0.3">
      <c r="B36" s="38">
        <v>5</v>
      </c>
      <c r="C36" s="40"/>
      <c r="D36" s="40"/>
      <c r="E36" s="40"/>
      <c r="F36" s="40"/>
      <c r="G36" s="40"/>
      <c r="H36" s="40"/>
      <c r="I36" s="40"/>
    </row>
    <row r="37" spans="2:9" ht="11.25" customHeight="1" thickBot="1" x14ac:dyDescent="0.3">
      <c r="B37" s="94"/>
      <c r="C37" s="94"/>
      <c r="D37" s="94"/>
      <c r="E37" s="94"/>
      <c r="F37" s="94"/>
      <c r="G37" s="94"/>
      <c r="H37" s="94"/>
      <c r="I37" s="94"/>
    </row>
    <row r="38" spans="2:9" ht="25.5" customHeight="1" thickBot="1" x14ac:dyDescent="0.3">
      <c r="B38" s="372" t="s">
        <v>204</v>
      </c>
      <c r="C38" s="373"/>
      <c r="D38" s="373"/>
      <c r="E38" s="373"/>
      <c r="F38" s="374"/>
      <c r="G38" s="81">
        <f>SUM(C32:C36)</f>
        <v>0</v>
      </c>
      <c r="H38" s="94"/>
      <c r="I38" s="94"/>
    </row>
    <row r="39" spans="2:9" s="151" customFormat="1" ht="25.5" customHeight="1" x14ac:dyDescent="0.25">
      <c r="B39" s="177"/>
      <c r="C39" s="177"/>
      <c r="D39" s="177"/>
      <c r="E39" s="177"/>
      <c r="F39" s="177"/>
      <c r="G39" s="178"/>
      <c r="H39" s="179"/>
      <c r="I39" s="179"/>
    </row>
    <row r="40" spans="2:9" ht="18.75" x14ac:dyDescent="0.25">
      <c r="B40" s="79" t="s">
        <v>200</v>
      </c>
      <c r="C40" s="29"/>
      <c r="D40" s="85"/>
    </row>
    <row r="41" spans="2:9" ht="9.75" customHeight="1" thickBot="1" x14ac:dyDescent="0.3">
      <c r="B41" s="24"/>
      <c r="D41" s="29"/>
    </row>
    <row r="42" spans="2:9" ht="16.5" thickBot="1" x14ac:dyDescent="0.3">
      <c r="B42" s="25" t="s">
        <v>43</v>
      </c>
      <c r="C42" s="26" t="s">
        <v>6</v>
      </c>
      <c r="D42" s="26" t="s">
        <v>15</v>
      </c>
      <c r="E42" s="26" t="s">
        <v>8</v>
      </c>
      <c r="F42" s="26" t="s">
        <v>0</v>
      </c>
      <c r="G42" s="26" t="s">
        <v>47</v>
      </c>
    </row>
    <row r="43" spans="2:9" ht="16.5" thickBot="1" x14ac:dyDescent="0.3">
      <c r="B43" s="92">
        <v>1</v>
      </c>
      <c r="C43" s="93"/>
      <c r="D43" s="26"/>
      <c r="E43" s="26"/>
      <c r="F43" s="26"/>
      <c r="G43" s="26"/>
    </row>
    <row r="44" spans="2:9" ht="16.5" thickBot="1" x14ac:dyDescent="0.3">
      <c r="B44" s="92">
        <v>2</v>
      </c>
      <c r="C44" s="93"/>
      <c r="D44" s="93"/>
      <c r="E44" s="93"/>
      <c r="F44" s="93"/>
      <c r="G44" s="93"/>
    </row>
    <row r="45" spans="2:9" ht="16.5" thickBot="1" x14ac:dyDescent="0.3">
      <c r="B45" s="92">
        <v>3</v>
      </c>
      <c r="C45" s="93"/>
      <c r="D45" s="93"/>
      <c r="E45" s="93"/>
      <c r="F45" s="93"/>
      <c r="G45" s="93"/>
    </row>
    <row r="46" spans="2:9" ht="16.5" thickBot="1" x14ac:dyDescent="0.3">
      <c r="B46" s="92">
        <v>4</v>
      </c>
      <c r="C46" s="93"/>
      <c r="D46" s="93"/>
      <c r="E46" s="93"/>
      <c r="F46" s="93"/>
      <c r="G46" s="93"/>
    </row>
    <row r="47" spans="2:9" ht="16.5" thickBot="1" x14ac:dyDescent="0.3">
      <c r="B47" s="92">
        <v>5</v>
      </c>
      <c r="C47" s="93"/>
      <c r="D47" s="93"/>
      <c r="E47" s="93"/>
      <c r="F47" s="93"/>
      <c r="G47" s="93"/>
    </row>
    <row r="48" spans="2:9" ht="16.5" thickBot="1" x14ac:dyDescent="0.3">
      <c r="B48" s="92">
        <v>6</v>
      </c>
      <c r="C48" s="93"/>
      <c r="D48" s="93"/>
      <c r="E48" s="93"/>
      <c r="F48" s="93"/>
      <c r="G48" s="93"/>
    </row>
    <row r="49" spans="2:8" ht="6" customHeight="1" thickBot="1" x14ac:dyDescent="0.3">
      <c r="B49" s="167"/>
    </row>
    <row r="50" spans="2:8" ht="19.5" customHeight="1" thickBot="1" x14ac:dyDescent="0.3">
      <c r="B50" s="369" t="s">
        <v>203</v>
      </c>
      <c r="C50" s="370"/>
      <c r="D50" s="370"/>
      <c r="E50" s="370"/>
      <c r="F50" s="371"/>
      <c r="G50" s="81">
        <f>SUM(C43:C48)</f>
        <v>0</v>
      </c>
    </row>
    <row r="51" spans="2:8" ht="18" x14ac:dyDescent="0.25">
      <c r="B51" s="80"/>
      <c r="C51" s="80"/>
    </row>
    <row r="52" spans="2:8" ht="18.75" x14ac:dyDescent="0.3">
      <c r="B52" s="3"/>
      <c r="C52" s="166" t="s">
        <v>201</v>
      </c>
      <c r="D52" s="80"/>
    </row>
    <row r="53" spans="2:8" ht="6.75" customHeight="1" thickBot="1" x14ac:dyDescent="0.3">
      <c r="B53" s="3"/>
      <c r="D53" s="80"/>
    </row>
    <row r="54" spans="2:8" ht="38.25" thickBot="1" x14ac:dyDescent="0.3">
      <c r="B54" s="255" t="s">
        <v>43</v>
      </c>
      <c r="C54" s="82" t="s">
        <v>6</v>
      </c>
      <c r="D54" s="82" t="s">
        <v>74</v>
      </c>
      <c r="E54" s="82" t="s">
        <v>0</v>
      </c>
      <c r="F54" s="82" t="s">
        <v>120</v>
      </c>
      <c r="G54" s="82" t="s">
        <v>137</v>
      </c>
      <c r="H54" s="82" t="s">
        <v>138</v>
      </c>
    </row>
    <row r="55" spans="2:8" ht="19.5" thickBot="1" x14ac:dyDescent="0.3">
      <c r="B55" s="256">
        <v>1</v>
      </c>
      <c r="C55" s="254"/>
      <c r="D55" s="254"/>
      <c r="E55" s="254"/>
      <c r="F55" s="254"/>
      <c r="G55" s="254"/>
      <c r="H55" s="254"/>
    </row>
    <row r="56" spans="2:8" ht="19.5" thickBot="1" x14ac:dyDescent="0.3">
      <c r="B56" s="256">
        <v>2</v>
      </c>
      <c r="C56" s="254"/>
      <c r="D56" s="254"/>
      <c r="E56" s="254"/>
      <c r="F56" s="254"/>
      <c r="G56" s="254"/>
      <c r="H56" s="254"/>
    </row>
    <row r="57" spans="2:8" ht="19.5" thickBot="1" x14ac:dyDescent="0.3">
      <c r="B57" s="256">
        <v>3</v>
      </c>
      <c r="C57" s="254"/>
      <c r="D57" s="254"/>
      <c r="E57" s="254"/>
      <c r="F57" s="254"/>
      <c r="G57" s="254"/>
      <c r="H57" s="254"/>
    </row>
    <row r="58" spans="2:8" ht="19.5" thickBot="1" x14ac:dyDescent="0.3">
      <c r="B58" s="256">
        <v>4</v>
      </c>
      <c r="C58" s="254"/>
      <c r="D58" s="254"/>
      <c r="E58" s="254"/>
      <c r="F58" s="254"/>
      <c r="G58" s="254"/>
      <c r="H58" s="254"/>
    </row>
    <row r="59" spans="2:8" ht="19.5" thickBot="1" x14ac:dyDescent="0.3">
      <c r="B59" s="256">
        <v>5</v>
      </c>
      <c r="C59" s="254"/>
      <c r="D59" s="254"/>
      <c r="E59" s="254"/>
      <c r="F59" s="254"/>
      <c r="G59" s="254"/>
      <c r="H59" s="254"/>
    </row>
    <row r="60" spans="2:8" ht="15.75" thickBot="1" x14ac:dyDescent="0.3"/>
    <row r="61" spans="2:8" ht="30" customHeight="1" thickBot="1" x14ac:dyDescent="0.3">
      <c r="B61" s="369" t="s">
        <v>202</v>
      </c>
      <c r="C61" s="370"/>
      <c r="D61" s="370"/>
      <c r="E61" s="370"/>
      <c r="F61" s="371"/>
      <c r="G61" s="81">
        <f>SUM(C55:C59)</f>
        <v>0</v>
      </c>
    </row>
    <row r="64" spans="2:8" x14ac:dyDescent="0.25">
      <c r="D64" s="180" t="s">
        <v>304</v>
      </c>
    </row>
    <row r="70" spans="2:3" ht="18" x14ac:dyDescent="0.25">
      <c r="B70" s="167"/>
    </row>
    <row r="73" spans="2:3" x14ac:dyDescent="0.25">
      <c r="C73" s="29"/>
    </row>
  </sheetData>
  <mergeCells count="9">
    <mergeCell ref="J13:J14"/>
    <mergeCell ref="B3:D3"/>
    <mergeCell ref="A13:E13"/>
    <mergeCell ref="F13:I13"/>
    <mergeCell ref="B61:F61"/>
    <mergeCell ref="B50:F50"/>
    <mergeCell ref="B38:F38"/>
    <mergeCell ref="B27:F27"/>
    <mergeCell ref="B18:D18"/>
  </mergeCells>
  <dataValidations count="1">
    <dataValidation type="whole" allowBlank="1" showInputMessage="1" showErrorMessage="1" sqref="B13:I13 J13:J14 A15:J15 G50 G27 G38:G39 G61 D40" xr:uid="{00000000-0002-0000-0E00-000000000000}">
      <formula1>0</formula1>
      <formula2>10000000</formula2>
    </dataValidation>
  </dataValidations>
  <printOptions horizontalCentered="1" verticalCentered="1"/>
  <pageMargins left="0.70866141732283472" right="0.70866141732283472" top="0.55118110236220474" bottom="0.74803149606299213" header="0.31496062992125984" footer="0.31496062992125984"/>
  <pageSetup orientation="landscape" horizontalDpi="4294967292" r:id="rId1"/>
  <rowBreaks count="2" manualBreakCount="2">
    <brk id="16" max="16383" man="1"/>
    <brk id="39" max="9"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
  <sheetViews>
    <sheetView workbookViewId="0">
      <selection activeCell="L13" sqref="L13"/>
    </sheetView>
  </sheetViews>
  <sheetFormatPr baseColWidth="10" defaultRowHeight="15" x14ac:dyDescent="0.25"/>
  <sheetData>
    <row r="1" spans="2:2" ht="27.75" x14ac:dyDescent="0.4">
      <c r="B1" s="387" t="s">
        <v>161</v>
      </c>
    </row>
  </sheetData>
  <pageMargins left="0.7" right="0.7" top="0.75" bottom="0.75" header="0.3" footer="0.3"/>
  <pageSetup orientation="landscape"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16</vt:i4>
      </vt:variant>
      <vt:variant>
        <vt:lpstr>Plages nommées</vt:lpstr>
      </vt:variant>
      <vt:variant>
        <vt:i4>6</vt:i4>
      </vt:variant>
    </vt:vector>
  </HeadingPairs>
  <TitlesOfParts>
    <vt:vector size="22" baseType="lpstr">
      <vt:lpstr>PAGE DE GARDE</vt:lpstr>
      <vt:lpstr>SOMMAIRE</vt:lpstr>
      <vt:lpstr>INTRODUCTION</vt:lpstr>
      <vt:lpstr>VIE PEDAGOGIQUE</vt:lpstr>
      <vt:lpstr>VISITES DE CLASSES</vt:lpstr>
      <vt:lpstr>FORMATIONS</vt:lpstr>
      <vt:lpstr>NOMBRE D'ELEVES PAR NIVEAU</vt:lpstr>
      <vt:lpstr>RESULTATS SCOLAIRES</vt:lpstr>
      <vt:lpstr>LISTE DES MAJORS</vt:lpstr>
      <vt:lpstr>EFFECTIFS ET PYRAMIDES</vt:lpstr>
      <vt:lpstr>REPARTITION ELEVE PAR NAISSANCE</vt:lpstr>
      <vt:lpstr>ETAT DU PERSONNEL ENSEIGNANT</vt:lpstr>
      <vt:lpstr>ETAT DU PERSONNEL ADMINISTRATIF</vt:lpstr>
      <vt:lpstr>ETAT PERSONNEL DE SERVICE</vt:lpstr>
      <vt:lpstr>CAS SOCIAUX</vt:lpstr>
      <vt:lpstr>CONCLUSION</vt:lpstr>
      <vt:lpstr>'CAS SOCIAUX'!Zone_d_impression</vt:lpstr>
      <vt:lpstr>'EFFECTIFS ET PYRAMIDES'!Zone_d_impression</vt:lpstr>
      <vt:lpstr>'ETAT DU PERSONNEL ENSEIGNANT'!Zone_d_impression</vt:lpstr>
      <vt:lpstr>'PAGE DE GARDE'!Zone_d_impression</vt:lpstr>
      <vt:lpstr>'REPARTITION ELEVE PAR NAISSANCE'!Zone_d_impression</vt:lpstr>
      <vt:lpstr>'RESULTATS SCOLAIRES'!Zone_d_impression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Bakary Ouattara</cp:lastModifiedBy>
  <cp:lastPrinted>2026-01-15T16:17:38Z</cp:lastPrinted>
  <dcterms:created xsi:type="dcterms:W3CDTF">2022-12-02T08:18:25Z</dcterms:created>
  <dcterms:modified xsi:type="dcterms:W3CDTF">2026-01-15T16:51:21Z</dcterms:modified>
</cp:coreProperties>
</file>